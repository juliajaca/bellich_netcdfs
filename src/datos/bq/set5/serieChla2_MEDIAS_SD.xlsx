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ulia\Documents\VSCODE_BELLICH\src\datos\bq\set5\"/>
    </mc:Choice>
  </mc:AlternateContent>
  <bookViews>
    <workbookView xWindow="0" yWindow="0" windowWidth="28800" windowHeight="12180"/>
  </bookViews>
  <sheets>
    <sheet name="Hoja1" sheetId="1" r:id="rId1"/>
    <sheet name="Hoja2" sheetId="2" r:id="rId2"/>
    <sheet name="Hoja3" sheetId="3" r:id="rId3"/>
  </sheets>
  <calcPr calcId="162913"/>
  <extLst>
    <ext uri="GoogleSheetsCustomDataVersion2">
      <go:sheetsCustomData xmlns:go="http://customooxmlschemas.google.com/" r:id="rId7" roundtripDataChecksum="foLnh+cqFOIGVYY67Pn5tPaja0XJETzEb6nx3Tklt3c="/>
    </ext>
  </extLst>
</workbook>
</file>

<file path=xl/calcChain.xml><?xml version="1.0" encoding="utf-8"?>
<calcChain xmlns="http://schemas.openxmlformats.org/spreadsheetml/2006/main">
  <c r="O375" i="1" l="1"/>
  <c r="N375" i="1"/>
  <c r="K367" i="1"/>
  <c r="J367" i="1"/>
  <c r="J357" i="1"/>
  <c r="I357" i="1"/>
  <c r="L353" i="1"/>
  <c r="K353" i="1"/>
  <c r="Q352" i="1"/>
  <c r="P352" i="1"/>
  <c r="L343" i="1"/>
  <c r="K343" i="1"/>
  <c r="U342" i="1"/>
  <c r="T342" i="1"/>
  <c r="J332" i="1"/>
  <c r="I332" i="1"/>
  <c r="J319" i="1"/>
  <c r="I319" i="1"/>
  <c r="L303" i="1"/>
  <c r="K303" i="1"/>
  <c r="L295" i="1"/>
  <c r="K295" i="1"/>
  <c r="J295" i="1"/>
  <c r="I295" i="1"/>
  <c r="I101" i="1"/>
  <c r="I2" i="1"/>
</calcChain>
</file>

<file path=xl/sharedStrings.xml><?xml version="1.0" encoding="utf-8"?>
<sst xmlns="http://schemas.openxmlformats.org/spreadsheetml/2006/main" count="59" uniqueCount="51">
  <si>
    <t>Date</t>
  </si>
  <si>
    <t>Chla (sat +insitu)</t>
  </si>
  <si>
    <t>Date_sat</t>
  </si>
  <si>
    <t>Chla_corr</t>
  </si>
  <si>
    <t>Date_in_situ</t>
  </si>
  <si>
    <t>Chla_in_situ</t>
  </si>
  <si>
    <t xml:space="preserve">media decadas </t>
  </si>
  <si>
    <t>sd</t>
  </si>
  <si>
    <t>breakpoint</t>
  </si>
  <si>
    <t>MHW</t>
  </si>
  <si>
    <t>extreme rai</t>
  </si>
  <si>
    <t>muerte vegeta</t>
  </si>
  <si>
    <t>alta continuamente mas de 3-4</t>
  </si>
  <si>
    <t>15 meses de  enero 2016 a marzo 2017</t>
  </si>
  <si>
    <t>para discusion</t>
  </si>
  <si>
    <t>media cloro 2016</t>
  </si>
  <si>
    <t>media Chl a con E0&lt; 4% en sept y nov 2016</t>
  </si>
  <si>
    <t>Desde junio 2016 a enero 2017</t>
  </si>
  <si>
    <t>E0 entre 0,9 y 4,3</t>
  </si>
  <si>
    <t>Kd entre 0,81 y 1,25</t>
  </si>
  <si>
    <t>Eo junio 4,3</t>
  </si>
  <si>
    <t>Eo agosto 2,6</t>
  </si>
  <si>
    <t>From 2016 to march of 2018 Chla a values higher than 3,45, with mean of  6,69 and maximum peaks of XX, excepto 4 meses de claridad de aguas en  invierno de 2017 (&lt;1,86 mg)</t>
  </si>
  <si>
    <t xml:space="preserve">maximum 12,33 and 16 </t>
  </si>
  <si>
    <t>4 meses de claridad 2017</t>
  </si>
  <si>
    <t>no pongo el 22 de satelite</t>
  </si>
  <si>
    <t>Desde agosto 2017 a enero 2018</t>
  </si>
  <si>
    <t>E0 entre 2,4 y 8,6</t>
  </si>
  <si>
    <t>Media = 3,0</t>
  </si>
  <si>
    <t>Kd entre 0,63 y 0,94</t>
  </si>
  <si>
    <t>Media=1,0</t>
  </si>
  <si>
    <t>2018 y 2019</t>
  </si>
  <si>
    <t>From 2018 until sept 2019 water remained with cierta claridad con media de Chla .</t>
  </si>
  <si>
    <t>DANA</t>
  </si>
  <si>
    <t>18 septiembre 2019 hasta 10 diciembre 2019</t>
  </si>
  <si>
    <t>E0 entre 2,8 y 3,6</t>
  </si>
  <si>
    <t>Media = 5,2</t>
  </si>
  <si>
    <t>kd 0,88 y 0,99</t>
  </si>
  <si>
    <t>Media=0,8</t>
  </si>
  <si>
    <t>media 2020,2021,2022</t>
  </si>
  <si>
    <t>mediat anual</t>
  </si>
  <si>
    <r>
      <rPr>
        <b/>
        <sz val="11"/>
        <color rgb="FF006100"/>
        <rFont val="Calibri"/>
      </rPr>
      <t xml:space="preserve">21 mayo 2020 </t>
    </r>
    <r>
      <rPr>
        <sz val="11"/>
        <color rgb="FF006100"/>
        <rFont val="Calibri"/>
      </rPr>
      <t>E0 8,7 y kd 0,62</t>
    </r>
  </si>
  <si>
    <t>valores debajo de 2 con picos primavera y otoño en torno a 3</t>
  </si>
  <si>
    <r>
      <rPr>
        <b/>
        <sz val="11"/>
        <color rgb="FF006100"/>
        <rFont val="Calibri"/>
      </rPr>
      <t xml:space="preserve">27 agosto 2020 </t>
    </r>
    <r>
      <rPr>
        <sz val="11"/>
        <color rgb="FF006100"/>
        <rFont val="Calibri"/>
      </rPr>
      <t>E0 8,3 y kd 0,65</t>
    </r>
  </si>
  <si>
    <t xml:space="preserve">During the three following years values of Chla a were lower than two most of the time (), however, other turbidity events after summer were also observed in 2021 when values of 16 were also reached (mean), and despite during 2020 and 2022 some during spring and autum values surpased 2 mg (mean)  </t>
  </si>
  <si>
    <t>media sin picos</t>
  </si>
  <si>
    <t>??</t>
  </si>
  <si>
    <t>5 meses</t>
  </si>
  <si>
    <t>peak 16</t>
  </si>
  <si>
    <r>
      <rPr>
        <b/>
        <sz val="11"/>
        <color rgb="FF006100"/>
        <rFont val="Calibri"/>
      </rPr>
      <t>29 septiembre 2021</t>
    </r>
    <r>
      <rPr>
        <sz val="11"/>
        <color rgb="FF006100"/>
        <rFont val="Calibri"/>
      </rPr>
      <t xml:space="preserve"> E0 3,2 y kd 0,95</t>
    </r>
  </si>
  <si>
    <t>media de mayo y sept 2020 y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</si>
</sst>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9" x14ac:knownFonts="1">
    <font>
      <sz val="11"/>
      <color theme="1"/>
      <name val="Calibri"/>
      <scheme val="minor"/>
    </font>
    <font>
      <sz val="11"/>
      <color theme="1"/>
      <name val="Calibri"/>
      <scheme val="minor"/>
    </font>
    <font>
      <sz val="11"/>
      <color theme="1"/>
      <name val="Calibri"/>
    </font>
    <font>
      <sz val="11"/>
      <color theme="0"/>
      <name val="Calibri"/>
    </font>
    <font>
      <b/>
      <sz val="11"/>
      <color rgb="FF006100"/>
      <name val="Calibri"/>
    </font>
    <font>
      <sz val="11"/>
      <color rgb="FF006100"/>
      <name val="Calibri"/>
    </font>
    <font>
      <b/>
      <sz val="11"/>
      <color theme="1"/>
      <name val="Calibri"/>
    </font>
    <font>
      <sz val="11"/>
      <color rgb="FF000000"/>
      <name val="Times New Roman"/>
    </font>
    <font>
      <sz val="11"/>
      <color rgb="FF006100"/>
      <name val="Calibri"/>
      <family val="2"/>
      <scheme val="minor"/>
    </font>
  </fonts>
  <fills count="17">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7F7F7F"/>
        <bgColor rgb="FF7F7F7F"/>
      </patternFill>
    </fill>
    <fill>
      <patternFill patternType="solid">
        <fgColor rgb="FF00B0F0"/>
        <bgColor rgb="FF00B0F0"/>
      </patternFill>
    </fill>
    <fill>
      <patternFill patternType="solid">
        <fgColor rgb="FFFABF8F"/>
        <bgColor rgb="FFFABF8F"/>
      </patternFill>
    </fill>
    <fill>
      <patternFill patternType="solid">
        <fgColor rgb="FF00FF00"/>
        <bgColor rgb="FF00FF00"/>
      </patternFill>
    </fill>
    <fill>
      <patternFill patternType="solid">
        <fgColor rgb="FFFF0000"/>
        <bgColor rgb="FFFF0000"/>
      </patternFill>
    </fill>
    <fill>
      <patternFill patternType="solid">
        <fgColor rgb="FFBFBFBF"/>
        <bgColor rgb="FFBFBFBF"/>
      </patternFill>
    </fill>
    <fill>
      <patternFill patternType="solid">
        <fgColor rgb="FFCCCCCC"/>
        <bgColor rgb="FFCCCCCC"/>
      </patternFill>
    </fill>
    <fill>
      <patternFill patternType="solid">
        <fgColor rgb="FFC6EFCE"/>
        <bgColor rgb="FFC6EFCE"/>
      </patternFill>
    </fill>
    <fill>
      <patternFill patternType="solid">
        <fgColor rgb="FFB6D7A8"/>
        <bgColor rgb="FFB6D7A8"/>
      </patternFill>
    </fill>
    <fill>
      <patternFill patternType="solid">
        <fgColor rgb="FFE36C09"/>
        <bgColor rgb="FFE36C09"/>
      </patternFill>
    </fill>
    <fill>
      <patternFill patternType="solid">
        <fgColor rgb="FFFFC000"/>
        <bgColor rgb="FFFFC000"/>
      </patternFill>
    </fill>
    <fill>
      <patternFill patternType="solid">
        <fgColor rgb="FF00B050"/>
        <bgColor rgb="FF00B050"/>
      </patternFill>
    </fill>
    <fill>
      <patternFill patternType="solid">
        <fgColor rgb="FFC6EFCE"/>
      </patternFill>
    </fill>
  </fills>
  <borders count="36">
    <border>
      <left/>
      <right/>
      <top/>
      <bottom/>
      <diagonal/>
    </border>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top/>
      <bottom/>
      <diagonal/>
    </border>
    <border>
      <left/>
      <right style="thin">
        <color rgb="FF000000"/>
      </right>
      <top/>
      <bottom/>
      <diagonal/>
    </border>
    <border>
      <left/>
      <right style="thin">
        <color rgb="FF000000"/>
      </right>
      <top/>
      <bottom/>
      <diagonal/>
    </border>
    <border>
      <left/>
      <right/>
      <top style="thin">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
      <left/>
      <right style="medium">
        <color rgb="FF000000"/>
      </right>
      <top/>
      <bottom/>
      <diagonal/>
    </border>
    <border>
      <left style="thin">
        <color rgb="FF000000"/>
      </left>
      <right style="medium">
        <color rgb="FF000000"/>
      </right>
      <top style="thin">
        <color rgb="FF000000"/>
      </top>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right style="medium">
        <color rgb="FF000000"/>
      </right>
      <top/>
      <bottom style="medium">
        <color rgb="FF000000"/>
      </bottom>
      <diagonal/>
    </border>
  </borders>
  <cellStyleXfs count="2">
    <xf numFmtId="0" fontId="0" fillId="0" borderId="0"/>
    <xf numFmtId="0" fontId="8" fillId="16" borderId="0" applyNumberFormat="0" applyBorder="0" applyAlignment="0" applyProtection="0"/>
  </cellStyleXfs>
  <cellXfs count="102">
    <xf numFmtId="0" fontId="0" fillId="0" borderId="0" xfId="0" applyFont="1" applyAlignment="1"/>
    <xf numFmtId="0" fontId="1" fillId="0" borderId="0" xfId="0" applyFont="1"/>
    <xf numFmtId="22" fontId="2" fillId="0" borderId="0" xfId="0" applyNumberFormat="1" applyFont="1"/>
    <xf numFmtId="2" fontId="2" fillId="0" borderId="0" xfId="0" applyNumberFormat="1" applyFont="1"/>
    <xf numFmtId="164" fontId="2" fillId="0" borderId="0" xfId="0" applyNumberFormat="1" applyFont="1"/>
    <xf numFmtId="2" fontId="2" fillId="2" borderId="1" xfId="0" applyNumberFormat="1" applyFont="1" applyFill="1" applyBorder="1"/>
    <xf numFmtId="2" fontId="2" fillId="3" borderId="1" xfId="0" applyNumberFormat="1" applyFont="1" applyFill="1" applyBorder="1"/>
    <xf numFmtId="22" fontId="2" fillId="0" borderId="2" xfId="0" applyNumberFormat="1" applyFont="1" applyBorder="1"/>
    <xf numFmtId="2" fontId="2" fillId="0" borderId="2" xfId="0" applyNumberFormat="1" applyFont="1" applyBorder="1"/>
    <xf numFmtId="0" fontId="2" fillId="0" borderId="2" xfId="0" applyFont="1" applyBorder="1"/>
    <xf numFmtId="22" fontId="2" fillId="0" borderId="3" xfId="0" applyNumberFormat="1" applyFont="1" applyBorder="1"/>
    <xf numFmtId="2" fontId="2" fillId="2" borderId="4" xfId="0" applyNumberFormat="1" applyFont="1" applyFill="1" applyBorder="1"/>
    <xf numFmtId="2" fontId="1" fillId="0" borderId="0" xfId="0" applyNumberFormat="1" applyFont="1"/>
    <xf numFmtId="22" fontId="2" fillId="4" borderId="1" xfId="0" applyNumberFormat="1" applyFont="1" applyFill="1" applyBorder="1"/>
    <xf numFmtId="0" fontId="2" fillId="4" borderId="1" xfId="0" applyFont="1" applyFill="1" applyBorder="1"/>
    <xf numFmtId="2" fontId="2" fillId="4" borderId="1" xfId="0" applyNumberFormat="1" applyFont="1" applyFill="1" applyBorder="1"/>
    <xf numFmtId="0" fontId="3" fillId="4" borderId="1" xfId="0" applyFont="1" applyFill="1" applyBorder="1"/>
    <xf numFmtId="0" fontId="1" fillId="0" borderId="0" xfId="0" applyFont="1" applyAlignment="1"/>
    <xf numFmtId="0" fontId="2" fillId="5" borderId="1" xfId="0" applyFont="1" applyFill="1" applyBorder="1"/>
    <xf numFmtId="22" fontId="2" fillId="0" borderId="5" xfId="0" applyNumberFormat="1" applyFont="1" applyBorder="1"/>
    <xf numFmtId="2" fontId="2" fillId="6" borderId="6" xfId="0" applyNumberFormat="1" applyFont="1" applyFill="1" applyBorder="1"/>
    <xf numFmtId="0" fontId="1" fillId="7" borderId="0" xfId="0" applyFont="1" applyFill="1" applyAlignment="1"/>
    <xf numFmtId="2" fontId="2" fillId="6" borderId="1" xfId="0" applyNumberFormat="1" applyFont="1" applyFill="1" applyBorder="1"/>
    <xf numFmtId="22" fontId="2" fillId="0" borderId="7" xfId="0" applyNumberFormat="1" applyFont="1" applyBorder="1"/>
    <xf numFmtId="2" fontId="2" fillId="8" borderId="8" xfId="0" applyNumberFormat="1" applyFont="1" applyFill="1" applyBorder="1"/>
    <xf numFmtId="0" fontId="2" fillId="9" borderId="1" xfId="0" applyFont="1" applyFill="1" applyBorder="1"/>
    <xf numFmtId="2" fontId="2" fillId="6" borderId="8" xfId="0" applyNumberFormat="1" applyFont="1" applyFill="1" applyBorder="1"/>
    <xf numFmtId="0" fontId="2" fillId="0" borderId="11" xfId="0" applyFont="1" applyBorder="1"/>
    <xf numFmtId="0" fontId="2" fillId="0" borderId="0" xfId="0" applyFont="1"/>
    <xf numFmtId="22" fontId="2" fillId="0" borderId="12" xfId="0" applyNumberFormat="1" applyFont="1" applyBorder="1"/>
    <xf numFmtId="0" fontId="2" fillId="0" borderId="13" xfId="0" applyFont="1" applyBorder="1"/>
    <xf numFmtId="0" fontId="2" fillId="10" borderId="0" xfId="0" applyFont="1" applyFill="1" applyAlignment="1"/>
    <xf numFmtId="0" fontId="1" fillId="10" borderId="0" xfId="0" applyFont="1" applyFill="1"/>
    <xf numFmtId="2" fontId="2" fillId="8" borderId="1" xfId="0" applyNumberFormat="1" applyFont="1" applyFill="1" applyBorder="1"/>
    <xf numFmtId="0" fontId="2" fillId="10" borderId="14" xfId="0" applyFont="1" applyFill="1" applyBorder="1" applyAlignment="1"/>
    <xf numFmtId="0" fontId="1" fillId="10" borderId="15" xfId="0" applyFont="1" applyFill="1" applyBorder="1" applyAlignment="1"/>
    <xf numFmtId="2" fontId="2" fillId="10" borderId="16" xfId="0" applyNumberFormat="1" applyFont="1" applyFill="1" applyBorder="1"/>
    <xf numFmtId="2" fontId="1" fillId="10" borderId="17" xfId="0" applyNumberFormat="1" applyFont="1" applyFill="1" applyBorder="1" applyAlignment="1"/>
    <xf numFmtId="0" fontId="4" fillId="11" borderId="1" xfId="0" applyFont="1" applyFill="1" applyBorder="1"/>
    <xf numFmtId="0" fontId="5" fillId="11" borderId="1" xfId="0" applyFont="1" applyFill="1" applyBorder="1"/>
    <xf numFmtId="0" fontId="2" fillId="12" borderId="0" xfId="0" applyFont="1" applyFill="1" applyAlignment="1"/>
    <xf numFmtId="2" fontId="2" fillId="13" borderId="1" xfId="0" applyNumberFormat="1" applyFont="1" applyFill="1" applyBorder="1"/>
    <xf numFmtId="22" fontId="2" fillId="0" borderId="18" xfId="0" applyNumberFormat="1" applyFont="1" applyBorder="1"/>
    <xf numFmtId="2" fontId="2" fillId="0" borderId="19" xfId="0" applyNumberFormat="1" applyFont="1" applyBorder="1"/>
    <xf numFmtId="2" fontId="5" fillId="11" borderId="1" xfId="0" applyNumberFormat="1" applyFont="1" applyFill="1" applyBorder="1"/>
    <xf numFmtId="2" fontId="2" fillId="14" borderId="21" xfId="0" applyNumberFormat="1" applyFont="1" applyFill="1" applyBorder="1"/>
    <xf numFmtId="0" fontId="2" fillId="0" borderId="20" xfId="0" applyFont="1" applyBorder="1"/>
    <xf numFmtId="0" fontId="6" fillId="0" borderId="0" xfId="0" applyFont="1"/>
    <xf numFmtId="0" fontId="2" fillId="15" borderId="1" xfId="0" applyFont="1" applyFill="1" applyBorder="1"/>
    <xf numFmtId="0" fontId="2" fillId="0" borderId="14" xfId="0" applyFont="1" applyBorder="1"/>
    <xf numFmtId="0" fontId="2" fillId="0" borderId="25" xfId="0" applyFont="1" applyBorder="1"/>
    <xf numFmtId="0" fontId="2" fillId="0" borderId="15" xfId="0" applyFont="1" applyBorder="1"/>
    <xf numFmtId="0" fontId="2" fillId="0" borderId="22" xfId="0" applyFont="1" applyBorder="1"/>
    <xf numFmtId="0" fontId="2" fillId="0" borderId="23" xfId="0" applyFont="1" applyBorder="1"/>
    <xf numFmtId="0" fontId="2" fillId="0" borderId="5" xfId="0" applyFont="1" applyBorder="1"/>
    <xf numFmtId="0" fontId="2" fillId="0" borderId="26" xfId="0" applyFont="1" applyBorder="1"/>
    <xf numFmtId="0" fontId="2" fillId="0" borderId="27" xfId="0" applyFont="1" applyBorder="1"/>
    <xf numFmtId="0" fontId="2" fillId="0" borderId="16" xfId="0" applyFont="1" applyBorder="1"/>
    <xf numFmtId="0" fontId="2" fillId="0" borderId="17" xfId="0" applyFont="1" applyBorder="1"/>
    <xf numFmtId="0" fontId="2" fillId="0" borderId="7" xfId="0" applyFont="1" applyBorder="1"/>
    <xf numFmtId="0" fontId="2" fillId="0" borderId="12" xfId="0" applyFont="1" applyBorder="1"/>
    <xf numFmtId="0" fontId="2" fillId="0" borderId="31" xfId="0" applyFont="1" applyBorder="1"/>
    <xf numFmtId="0" fontId="5" fillId="11" borderId="32" xfId="0" applyFont="1" applyFill="1" applyBorder="1"/>
    <xf numFmtId="0" fontId="2" fillId="0" borderId="34" xfId="0" applyFont="1" applyBorder="1"/>
    <xf numFmtId="0" fontId="1" fillId="0" borderId="17" xfId="0" applyFont="1" applyBorder="1"/>
    <xf numFmtId="0" fontId="2" fillId="0" borderId="18" xfId="0" applyFont="1" applyBorder="1"/>
    <xf numFmtId="0" fontId="7" fillId="0" borderId="0" xfId="0" applyFont="1"/>
    <xf numFmtId="0" fontId="8" fillId="16" borderId="0" xfId="1"/>
    <xf numFmtId="22" fontId="8" fillId="16" borderId="0" xfId="1" applyNumberFormat="1"/>
    <xf numFmtId="2" fontId="8" fillId="16" borderId="0" xfId="1" applyNumberFormat="1"/>
    <xf numFmtId="2" fontId="8" fillId="16" borderId="1" xfId="1" applyNumberFormat="1" applyBorder="1"/>
    <xf numFmtId="0" fontId="8" fillId="16" borderId="0" xfId="1" applyAlignment="1"/>
    <xf numFmtId="0" fontId="8" fillId="16" borderId="2" xfId="1" applyBorder="1"/>
    <xf numFmtId="0" fontId="8" fillId="16" borderId="1" xfId="1" applyBorder="1"/>
    <xf numFmtId="0" fontId="8" fillId="16" borderId="9" xfId="1" applyBorder="1"/>
    <xf numFmtId="0" fontId="8" fillId="16" borderId="10" xfId="1" applyBorder="1"/>
    <xf numFmtId="22" fontId="8" fillId="16" borderId="10" xfId="1" applyNumberFormat="1" applyBorder="1"/>
    <xf numFmtId="2" fontId="8" fillId="16" borderId="11" xfId="1" applyNumberFormat="1" applyBorder="1"/>
    <xf numFmtId="2" fontId="8" fillId="16" borderId="13" xfId="1" applyNumberFormat="1" applyBorder="1"/>
    <xf numFmtId="22" fontId="8" fillId="16" borderId="19" xfId="1" applyNumberFormat="1" applyBorder="1"/>
    <xf numFmtId="2" fontId="8" fillId="16" borderId="20" xfId="1" applyNumberFormat="1" applyBorder="1"/>
    <xf numFmtId="22" fontId="8" fillId="16" borderId="21" xfId="1" applyNumberFormat="1" applyBorder="1"/>
    <xf numFmtId="2" fontId="8" fillId="16" borderId="21" xfId="1" applyNumberFormat="1" applyBorder="1"/>
    <xf numFmtId="22" fontId="8" fillId="16" borderId="3" xfId="1" applyNumberFormat="1" applyBorder="1"/>
    <xf numFmtId="2" fontId="8" fillId="16" borderId="4" xfId="1" applyNumberFormat="1" applyBorder="1"/>
    <xf numFmtId="22" fontId="8" fillId="16" borderId="22" xfId="1" applyNumberFormat="1" applyBorder="1"/>
    <xf numFmtId="2" fontId="8" fillId="16" borderId="23" xfId="1" applyNumberFormat="1" applyBorder="1"/>
    <xf numFmtId="2" fontId="8" fillId="16" borderId="24" xfId="1" applyNumberFormat="1" applyBorder="1"/>
    <xf numFmtId="22" fontId="8" fillId="16" borderId="25" xfId="1" applyNumberFormat="1" applyBorder="1"/>
    <xf numFmtId="2" fontId="8" fillId="16" borderId="25" xfId="1" applyNumberFormat="1" applyBorder="1"/>
    <xf numFmtId="22" fontId="8" fillId="16" borderId="1" xfId="1" applyNumberFormat="1" applyBorder="1"/>
    <xf numFmtId="2" fontId="8" fillId="16" borderId="10" xfId="1" applyNumberFormat="1" applyBorder="1"/>
    <xf numFmtId="22" fontId="8" fillId="16" borderId="7" xfId="1" applyNumberFormat="1" applyBorder="1"/>
    <xf numFmtId="2" fontId="8" fillId="16" borderId="9" xfId="1" applyNumberFormat="1" applyBorder="1"/>
    <xf numFmtId="22" fontId="8" fillId="16" borderId="12" xfId="1" applyNumberFormat="1" applyBorder="1"/>
    <xf numFmtId="2" fontId="8" fillId="16" borderId="28" xfId="1" applyNumberFormat="1" applyBorder="1"/>
    <xf numFmtId="2" fontId="8" fillId="16" borderId="29" xfId="1" applyNumberFormat="1" applyBorder="1"/>
    <xf numFmtId="2" fontId="8" fillId="16" borderId="30" xfId="1" applyNumberFormat="1" applyBorder="1"/>
    <xf numFmtId="2" fontId="8" fillId="16" borderId="33" xfId="1" applyNumberFormat="1" applyBorder="1"/>
    <xf numFmtId="22" fontId="8" fillId="16" borderId="18" xfId="1" applyNumberFormat="1" applyBorder="1"/>
    <xf numFmtId="2" fontId="8" fillId="16" borderId="35" xfId="1" applyNumberFormat="1" applyBorder="1"/>
    <xf numFmtId="2" fontId="8" fillId="16" borderId="19" xfId="1" applyNumberFormat="1" applyBorder="1"/>
  </cellXfs>
  <cellStyles count="2">
    <cellStyle name="Bueno"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topLeftCell="A448" workbookViewId="0">
      <selection activeCell="F265" sqref="F1:F1048576"/>
    </sheetView>
  </sheetViews>
  <sheetFormatPr baseColWidth="10" defaultColWidth="14.42578125" defaultRowHeight="15" customHeight="1" x14ac:dyDescent="0.25"/>
  <cols>
    <col min="1" max="1" width="15.85546875" customWidth="1"/>
    <col min="2" max="3" width="17.42578125" customWidth="1"/>
    <col min="4" max="4" width="17.5703125" customWidth="1"/>
    <col min="5" max="5" width="14.42578125" customWidth="1"/>
    <col min="6" max="6" width="24.28515625" style="71" customWidth="1"/>
    <col min="7" max="7" width="15.140625" style="71" customWidth="1"/>
    <col min="8" max="8" width="14.140625" customWidth="1"/>
    <col min="9" max="9" width="16" customWidth="1"/>
    <col min="10" max="10" width="37.5703125" customWidth="1"/>
    <col min="11" max="11" width="13.42578125" customWidth="1"/>
    <col min="12" max="12" width="11.85546875" customWidth="1"/>
    <col min="13" max="26" width="10.7109375" customWidth="1"/>
  </cols>
  <sheetData>
    <row r="1" spans="1:11" ht="14.25" customHeight="1" x14ac:dyDescent="0.25">
      <c r="A1" s="1" t="s">
        <v>0</v>
      </c>
      <c r="B1" s="1" t="s">
        <v>1</v>
      </c>
      <c r="D1" s="1" t="s">
        <v>2</v>
      </c>
      <c r="E1" s="1" t="s">
        <v>3</v>
      </c>
      <c r="F1" s="67" t="s">
        <v>4</v>
      </c>
      <c r="G1" s="67" t="s">
        <v>5</v>
      </c>
      <c r="I1" s="1" t="s">
        <v>6</v>
      </c>
      <c r="J1" s="1" t="s">
        <v>7</v>
      </c>
    </row>
    <row r="2" spans="1:11" ht="14.25" customHeight="1" x14ac:dyDescent="0.25">
      <c r="A2" s="2">
        <v>35796</v>
      </c>
      <c r="B2" s="1">
        <v>0.35730000000000001</v>
      </c>
      <c r="F2" s="68">
        <v>29707</v>
      </c>
      <c r="G2" s="69">
        <v>0.7</v>
      </c>
      <c r="I2" s="3">
        <f>AVERAGE(G2:G84,E76:E99)</f>
        <v>0.46649283489096588</v>
      </c>
      <c r="J2" s="3"/>
      <c r="K2" s="4"/>
    </row>
    <row r="3" spans="1:11" ht="14.25" customHeight="1" x14ac:dyDescent="0.25">
      <c r="A3" s="2">
        <v>35827</v>
      </c>
      <c r="B3" s="1">
        <v>0.45219999999999999</v>
      </c>
      <c r="F3" s="68">
        <v>29738</v>
      </c>
      <c r="G3" s="69">
        <v>0.86</v>
      </c>
      <c r="K3" s="4"/>
    </row>
    <row r="4" spans="1:11" ht="14.25" customHeight="1" x14ac:dyDescent="0.25">
      <c r="A4" s="2">
        <v>35855</v>
      </c>
      <c r="B4" s="1">
        <v>0.4889</v>
      </c>
      <c r="F4" s="68">
        <v>29768</v>
      </c>
      <c r="G4" s="69">
        <v>0.35</v>
      </c>
      <c r="K4" s="4"/>
    </row>
    <row r="5" spans="1:11" ht="14.25" customHeight="1" x14ac:dyDescent="0.25">
      <c r="A5" s="2">
        <v>35886</v>
      </c>
      <c r="B5" s="1">
        <v>0.31119999999999998</v>
      </c>
      <c r="F5" s="68">
        <v>29830</v>
      </c>
      <c r="G5" s="69">
        <v>0.43</v>
      </c>
      <c r="K5" s="4"/>
    </row>
    <row r="6" spans="1:11" ht="14.25" customHeight="1" x14ac:dyDescent="0.25">
      <c r="A6" s="2">
        <v>35916</v>
      </c>
      <c r="B6" s="1">
        <v>0.39090000000000003</v>
      </c>
      <c r="F6" s="68">
        <v>29860</v>
      </c>
      <c r="G6" s="69">
        <v>0.75</v>
      </c>
      <c r="K6" s="4"/>
    </row>
    <row r="7" spans="1:11" ht="14.25" customHeight="1" x14ac:dyDescent="0.25">
      <c r="A7" s="2">
        <v>35947</v>
      </c>
      <c r="B7" s="1">
        <v>0.4486</v>
      </c>
      <c r="F7" s="68">
        <v>29891</v>
      </c>
      <c r="G7" s="69">
        <v>0.57999999999999996</v>
      </c>
      <c r="K7" s="4"/>
    </row>
    <row r="8" spans="1:11" ht="14.25" customHeight="1" x14ac:dyDescent="0.25">
      <c r="A8" s="2">
        <v>35977</v>
      </c>
      <c r="B8" s="1">
        <v>0.66049999999999998</v>
      </c>
      <c r="F8" s="68">
        <v>29921</v>
      </c>
      <c r="G8" s="69">
        <v>0.53</v>
      </c>
      <c r="K8" s="4"/>
    </row>
    <row r="9" spans="1:11" ht="14.25" customHeight="1" x14ac:dyDescent="0.25">
      <c r="A9" s="2">
        <v>36008</v>
      </c>
      <c r="B9" s="1">
        <v>0.63139999999999996</v>
      </c>
      <c r="F9" s="68">
        <v>29952</v>
      </c>
      <c r="G9" s="69">
        <v>0.62</v>
      </c>
      <c r="K9" s="4"/>
    </row>
    <row r="10" spans="1:11" ht="14.25" customHeight="1" x14ac:dyDescent="0.25">
      <c r="A10" s="2">
        <v>36039</v>
      </c>
      <c r="B10" s="1">
        <v>0.47520000000000001</v>
      </c>
      <c r="F10" s="68">
        <v>29983</v>
      </c>
      <c r="G10" s="69">
        <v>0.37</v>
      </c>
      <c r="K10" s="4"/>
    </row>
    <row r="11" spans="1:11" ht="14.25" customHeight="1" x14ac:dyDescent="0.25">
      <c r="A11" s="2">
        <v>36069</v>
      </c>
      <c r="B11" s="1">
        <v>0.52080000000000004</v>
      </c>
      <c r="F11" s="68">
        <v>30011</v>
      </c>
      <c r="G11" s="69">
        <v>0.24</v>
      </c>
    </row>
    <row r="12" spans="1:11" ht="14.25" customHeight="1" x14ac:dyDescent="0.25">
      <c r="A12" s="2">
        <v>36100</v>
      </c>
      <c r="B12" s="1">
        <v>0.6129</v>
      </c>
      <c r="F12" s="68">
        <v>31444</v>
      </c>
      <c r="G12" s="69">
        <v>0.15</v>
      </c>
    </row>
    <row r="13" spans="1:11" ht="14.25" customHeight="1" x14ac:dyDescent="0.25">
      <c r="A13" s="2">
        <v>36130</v>
      </c>
      <c r="B13" s="1">
        <v>0.4672</v>
      </c>
      <c r="F13" s="68">
        <v>31472</v>
      </c>
      <c r="G13" s="69">
        <v>0.48</v>
      </c>
    </row>
    <row r="14" spans="1:11" ht="14.25" customHeight="1" x14ac:dyDescent="0.25">
      <c r="A14" s="2">
        <v>36161</v>
      </c>
      <c r="B14" s="1">
        <v>0.497</v>
      </c>
      <c r="F14" s="68">
        <v>31503</v>
      </c>
      <c r="G14" s="69">
        <v>0.54</v>
      </c>
    </row>
    <row r="15" spans="1:11" ht="14.25" customHeight="1" x14ac:dyDescent="0.25">
      <c r="A15" s="2">
        <v>36192</v>
      </c>
      <c r="B15" s="1">
        <v>0.42980000000000002</v>
      </c>
      <c r="F15" s="68">
        <v>31533</v>
      </c>
      <c r="G15" s="69">
        <v>0.25</v>
      </c>
    </row>
    <row r="16" spans="1:11" ht="14.25" customHeight="1" x14ac:dyDescent="0.25">
      <c r="A16" s="2">
        <v>36220</v>
      </c>
      <c r="B16" s="1">
        <v>0.34320000000000001</v>
      </c>
      <c r="F16" s="68">
        <v>31564</v>
      </c>
      <c r="G16" s="69">
        <v>0.56999999999999995</v>
      </c>
    </row>
    <row r="17" spans="1:7" ht="14.25" customHeight="1" x14ac:dyDescent="0.25">
      <c r="A17" s="2">
        <v>36251</v>
      </c>
      <c r="B17" s="1">
        <v>0.44940000000000002</v>
      </c>
      <c r="F17" s="68">
        <v>31594</v>
      </c>
      <c r="G17" s="69">
        <v>0.54</v>
      </c>
    </row>
    <row r="18" spans="1:7" ht="14.25" customHeight="1" x14ac:dyDescent="0.25">
      <c r="A18" s="2">
        <v>36281</v>
      </c>
      <c r="B18" s="1">
        <v>0.66669999999999996</v>
      </c>
      <c r="F18" s="68">
        <v>31625</v>
      </c>
      <c r="G18" s="69">
        <v>0.76</v>
      </c>
    </row>
    <row r="19" spans="1:7" ht="14.25" customHeight="1" x14ac:dyDescent="0.25">
      <c r="A19" s="2">
        <v>36312</v>
      </c>
      <c r="B19" s="1">
        <v>0.60319999999999996</v>
      </c>
      <c r="F19" s="68">
        <v>31656</v>
      </c>
      <c r="G19" s="70">
        <v>1.1100000000000001</v>
      </c>
    </row>
    <row r="20" spans="1:7" ht="14.25" customHeight="1" x14ac:dyDescent="0.25">
      <c r="A20" s="2">
        <v>36342</v>
      </c>
      <c r="B20" s="1">
        <v>0.52</v>
      </c>
      <c r="F20" s="68">
        <v>31686</v>
      </c>
      <c r="G20" s="69">
        <v>0.97</v>
      </c>
    </row>
    <row r="21" spans="1:7" ht="14.25" customHeight="1" x14ac:dyDescent="0.25">
      <c r="A21" s="2">
        <v>36373</v>
      </c>
      <c r="B21" s="1">
        <v>0.39589999999999997</v>
      </c>
      <c r="F21" s="68">
        <v>31717</v>
      </c>
      <c r="G21" s="69">
        <v>0.77</v>
      </c>
    </row>
    <row r="22" spans="1:7" ht="14.25" customHeight="1" x14ac:dyDescent="0.25">
      <c r="A22" s="2">
        <v>36404</v>
      </c>
      <c r="B22" s="1">
        <v>0.75700000000000001</v>
      </c>
      <c r="F22" s="68">
        <v>31747</v>
      </c>
      <c r="G22" s="69">
        <v>0.71</v>
      </c>
    </row>
    <row r="23" spans="1:7" ht="14.25" customHeight="1" x14ac:dyDescent="0.25">
      <c r="A23" s="2">
        <v>36434</v>
      </c>
      <c r="B23" s="1">
        <v>0.52049999999999996</v>
      </c>
      <c r="F23" s="68">
        <v>31778</v>
      </c>
      <c r="G23" s="69">
        <v>0.66600000000000004</v>
      </c>
    </row>
    <row r="24" spans="1:7" ht="14.25" customHeight="1" x14ac:dyDescent="0.25">
      <c r="A24" s="2">
        <v>36465</v>
      </c>
      <c r="B24" s="1">
        <v>0.32850000000000001</v>
      </c>
      <c r="F24" s="68">
        <v>31809</v>
      </c>
      <c r="G24" s="69">
        <v>0.72199999999999998</v>
      </c>
    </row>
    <row r="25" spans="1:7" ht="14.25" customHeight="1" x14ac:dyDescent="0.25">
      <c r="A25" s="2">
        <v>36495</v>
      </c>
      <c r="B25" s="1">
        <v>0.39410000000000001</v>
      </c>
      <c r="F25" s="68">
        <v>32176</v>
      </c>
      <c r="G25" s="69">
        <v>9.2333333333333337E-2</v>
      </c>
    </row>
    <row r="26" spans="1:7" ht="14.25" customHeight="1" x14ac:dyDescent="0.25">
      <c r="A26" s="2">
        <v>36526</v>
      </c>
      <c r="B26" s="1">
        <v>0.34710000000000002</v>
      </c>
      <c r="F26" s="68">
        <v>32219</v>
      </c>
      <c r="G26" s="69">
        <v>5.2999999999999999E-2</v>
      </c>
    </row>
    <row r="27" spans="1:7" ht="14.25" customHeight="1" x14ac:dyDescent="0.25">
      <c r="A27" s="2">
        <v>36557</v>
      </c>
      <c r="B27" s="1">
        <v>0.62590000000000001</v>
      </c>
      <c r="F27" s="68">
        <v>32253</v>
      </c>
      <c r="G27" s="69">
        <v>5.8999999999999997E-2</v>
      </c>
    </row>
    <row r="28" spans="1:7" ht="14.25" customHeight="1" x14ac:dyDescent="0.25">
      <c r="A28" s="2">
        <v>36586</v>
      </c>
      <c r="B28" s="1">
        <v>0.98040000000000005</v>
      </c>
      <c r="F28" s="68">
        <v>32266</v>
      </c>
      <c r="G28" s="69">
        <v>3.9E-2</v>
      </c>
    </row>
    <row r="29" spans="1:7" ht="14.25" customHeight="1" x14ac:dyDescent="0.25">
      <c r="A29" s="2">
        <v>36617</v>
      </c>
      <c r="B29" s="1">
        <v>0.85029999999999994</v>
      </c>
      <c r="F29" s="68">
        <v>32280</v>
      </c>
      <c r="G29" s="69">
        <v>7.9000000000000001E-2</v>
      </c>
    </row>
    <row r="30" spans="1:7" ht="14.25" customHeight="1" x14ac:dyDescent="0.25">
      <c r="A30" s="2">
        <v>36647</v>
      </c>
      <c r="B30" s="1">
        <v>0.4667</v>
      </c>
      <c r="F30" s="68">
        <v>32295</v>
      </c>
      <c r="G30" s="69">
        <v>5.2999999999999999E-2</v>
      </c>
    </row>
    <row r="31" spans="1:7" ht="14.25" customHeight="1" x14ac:dyDescent="0.25">
      <c r="A31" s="2">
        <v>36678</v>
      </c>
      <c r="B31" s="1">
        <v>0.60909999999999997</v>
      </c>
      <c r="F31" s="68">
        <v>32310</v>
      </c>
      <c r="G31" s="69">
        <v>2.6666666666666668E-2</v>
      </c>
    </row>
    <row r="32" spans="1:7" ht="14.25" customHeight="1" x14ac:dyDescent="0.25">
      <c r="A32" s="2">
        <v>36708</v>
      </c>
      <c r="B32" s="1">
        <v>0.58109999999999995</v>
      </c>
      <c r="F32" s="68">
        <v>32324</v>
      </c>
      <c r="G32" s="69">
        <v>9.9000000000000019E-2</v>
      </c>
    </row>
    <row r="33" spans="1:7" ht="14.25" customHeight="1" x14ac:dyDescent="0.25">
      <c r="A33" s="2">
        <v>36739</v>
      </c>
      <c r="B33" s="1">
        <v>0.48459999999999998</v>
      </c>
      <c r="F33" s="68">
        <v>32338</v>
      </c>
      <c r="G33" s="69">
        <v>0.04</v>
      </c>
    </row>
    <row r="34" spans="1:7" ht="14.25" customHeight="1" x14ac:dyDescent="0.25">
      <c r="A34" s="2">
        <v>36770</v>
      </c>
      <c r="B34" s="1">
        <v>0.54890000000000005</v>
      </c>
      <c r="F34" s="68">
        <v>32352</v>
      </c>
      <c r="G34" s="69">
        <v>0.75366666666666671</v>
      </c>
    </row>
    <row r="35" spans="1:7" ht="14.25" customHeight="1" x14ac:dyDescent="0.25">
      <c r="A35" s="2">
        <v>36800</v>
      </c>
      <c r="B35" s="1">
        <v>0.68210000000000004</v>
      </c>
      <c r="F35" s="68">
        <v>32365</v>
      </c>
      <c r="G35" s="70">
        <v>1.0606666666666666</v>
      </c>
    </row>
    <row r="36" spans="1:7" ht="14.25" customHeight="1" x14ac:dyDescent="0.25">
      <c r="A36" s="2">
        <v>36831</v>
      </c>
      <c r="B36" s="1">
        <v>0.29409999999999997</v>
      </c>
      <c r="F36" s="68">
        <v>32380</v>
      </c>
      <c r="G36" s="70">
        <v>2.0530000000000004</v>
      </c>
    </row>
    <row r="37" spans="1:7" ht="14.25" customHeight="1" x14ac:dyDescent="0.25">
      <c r="A37" s="2">
        <v>36861</v>
      </c>
      <c r="B37" s="1">
        <v>0.63429999999999997</v>
      </c>
      <c r="F37" s="68">
        <v>32408</v>
      </c>
      <c r="G37" s="70">
        <v>3.2610000000000006</v>
      </c>
    </row>
    <row r="38" spans="1:7" ht="14.25" customHeight="1" x14ac:dyDescent="0.25">
      <c r="A38" s="2">
        <v>36892</v>
      </c>
      <c r="B38" s="1">
        <v>0.64939999999999998</v>
      </c>
      <c r="F38" s="68">
        <v>32442</v>
      </c>
      <c r="G38" s="69">
        <v>0.56500000000000006</v>
      </c>
    </row>
    <row r="39" spans="1:7" ht="14.25" customHeight="1" x14ac:dyDescent="0.25">
      <c r="A39" s="2">
        <v>36923</v>
      </c>
      <c r="B39" s="1">
        <v>0.60860000000000003</v>
      </c>
      <c r="F39" s="68">
        <v>32486</v>
      </c>
      <c r="G39" s="69">
        <v>4.1000000000000002E-2</v>
      </c>
    </row>
    <row r="40" spans="1:7" ht="14.25" customHeight="1" x14ac:dyDescent="0.25">
      <c r="A40" s="2">
        <v>36951</v>
      </c>
      <c r="B40" s="1">
        <v>0.77100000000000002</v>
      </c>
      <c r="F40" s="68">
        <v>32145</v>
      </c>
      <c r="G40" s="69">
        <v>0.04</v>
      </c>
    </row>
    <row r="41" spans="1:7" ht="14.25" customHeight="1" x14ac:dyDescent="0.25">
      <c r="A41" s="2">
        <v>36982</v>
      </c>
      <c r="B41" s="1">
        <v>0.7752</v>
      </c>
      <c r="F41" s="68">
        <v>32183</v>
      </c>
      <c r="G41" s="69">
        <v>5.8999999999999997E-2</v>
      </c>
    </row>
    <row r="42" spans="1:7" ht="14.25" customHeight="1" x14ac:dyDescent="0.25">
      <c r="A42" s="2">
        <v>37012</v>
      </c>
      <c r="B42" s="1">
        <v>0.69169999999999998</v>
      </c>
      <c r="F42" s="68">
        <v>32874</v>
      </c>
      <c r="G42" s="69">
        <v>0.1</v>
      </c>
    </row>
    <row r="43" spans="1:7" ht="14.25" customHeight="1" x14ac:dyDescent="0.25">
      <c r="A43" s="2">
        <v>37043</v>
      </c>
      <c r="B43" s="1">
        <v>0.64439999999999997</v>
      </c>
      <c r="F43" s="68">
        <v>32905</v>
      </c>
      <c r="G43" s="69">
        <v>0.1</v>
      </c>
    </row>
    <row r="44" spans="1:7" ht="14.25" customHeight="1" x14ac:dyDescent="0.25">
      <c r="A44" s="2">
        <v>37073</v>
      </c>
      <c r="B44" s="1">
        <v>0.7641</v>
      </c>
      <c r="F44" s="68">
        <v>32994</v>
      </c>
      <c r="G44" s="70">
        <v>2.2000000000000002</v>
      </c>
    </row>
    <row r="45" spans="1:7" ht="14.25" customHeight="1" x14ac:dyDescent="0.25">
      <c r="A45" s="2">
        <v>37104</v>
      </c>
      <c r="B45" s="1">
        <v>1.167</v>
      </c>
      <c r="F45" s="68">
        <v>33025</v>
      </c>
      <c r="G45" s="70">
        <v>0.56999999999999995</v>
      </c>
    </row>
    <row r="46" spans="1:7" ht="14.25" customHeight="1" x14ac:dyDescent="0.25">
      <c r="A46" s="2">
        <v>37135</v>
      </c>
      <c r="B46" s="1">
        <v>0.49669999999999997</v>
      </c>
      <c r="F46" s="68">
        <v>33055</v>
      </c>
      <c r="G46" s="70">
        <v>0.56999999999999995</v>
      </c>
    </row>
    <row r="47" spans="1:7" ht="14.25" customHeight="1" x14ac:dyDescent="0.25">
      <c r="A47" s="2">
        <v>37165</v>
      </c>
      <c r="B47" s="1">
        <v>0.32190000000000002</v>
      </c>
      <c r="F47" s="68">
        <v>33086</v>
      </c>
      <c r="G47" s="70">
        <v>1.1000000000000001</v>
      </c>
    </row>
    <row r="48" spans="1:7" ht="14.25" customHeight="1" x14ac:dyDescent="0.25">
      <c r="A48" s="2">
        <v>37196</v>
      </c>
      <c r="B48" s="1">
        <v>0.64170000000000005</v>
      </c>
      <c r="F48" s="68">
        <v>33117</v>
      </c>
      <c r="G48" s="70">
        <v>0.81</v>
      </c>
    </row>
    <row r="49" spans="1:7" ht="14.25" customHeight="1" x14ac:dyDescent="0.25">
      <c r="A49" s="2">
        <v>37226</v>
      </c>
      <c r="B49" s="1">
        <v>0.38740000000000002</v>
      </c>
      <c r="F49" s="68">
        <v>33147</v>
      </c>
      <c r="G49" s="70">
        <v>1.1200000000000001</v>
      </c>
    </row>
    <row r="50" spans="1:7" ht="14.25" customHeight="1" x14ac:dyDescent="0.25">
      <c r="A50" s="2">
        <v>37257</v>
      </c>
      <c r="B50" s="1">
        <v>0.65710000000000002</v>
      </c>
      <c r="F50" s="68">
        <v>33178</v>
      </c>
      <c r="G50" s="69">
        <v>0.7</v>
      </c>
    </row>
    <row r="51" spans="1:7" ht="14.25" customHeight="1" x14ac:dyDescent="0.25">
      <c r="A51" s="2">
        <v>37288</v>
      </c>
      <c r="B51" s="1">
        <v>0.53249999999999997</v>
      </c>
      <c r="F51" s="68">
        <v>33208</v>
      </c>
      <c r="G51" s="69">
        <v>0.51</v>
      </c>
    </row>
    <row r="52" spans="1:7" ht="14.25" customHeight="1" x14ac:dyDescent="0.25">
      <c r="A52" s="2">
        <v>37316</v>
      </c>
      <c r="B52" s="1">
        <v>0.67120000000000002</v>
      </c>
      <c r="F52" s="68">
        <v>33239</v>
      </c>
      <c r="G52" s="69">
        <v>0.32</v>
      </c>
    </row>
    <row r="53" spans="1:7" ht="14.25" customHeight="1" x14ac:dyDescent="0.25">
      <c r="A53" s="2">
        <v>37347</v>
      </c>
      <c r="B53" s="1">
        <v>1.004</v>
      </c>
      <c r="F53" s="68">
        <v>33270</v>
      </c>
      <c r="G53" s="69">
        <v>0.24</v>
      </c>
    </row>
    <row r="54" spans="1:7" ht="14.25" customHeight="1" x14ac:dyDescent="0.25">
      <c r="A54" s="2">
        <v>37377</v>
      </c>
      <c r="B54" s="1">
        <v>1.0851999999999999</v>
      </c>
      <c r="F54" s="68">
        <v>33298</v>
      </c>
      <c r="G54" s="69">
        <v>0.28000000000000003</v>
      </c>
    </row>
    <row r="55" spans="1:7" ht="14.25" customHeight="1" x14ac:dyDescent="0.25">
      <c r="A55" s="2">
        <v>37408</v>
      </c>
      <c r="B55" s="1">
        <v>0.8125</v>
      </c>
      <c r="F55" s="68">
        <v>33329</v>
      </c>
      <c r="G55" s="69">
        <v>0.19</v>
      </c>
    </row>
    <row r="56" spans="1:7" ht="14.25" customHeight="1" x14ac:dyDescent="0.25">
      <c r="A56" s="2">
        <v>37438</v>
      </c>
      <c r="B56" s="1">
        <v>0.89659999999999995</v>
      </c>
      <c r="F56" s="68">
        <v>33359</v>
      </c>
      <c r="G56" s="69">
        <v>0.13</v>
      </c>
    </row>
    <row r="57" spans="1:7" ht="14.25" customHeight="1" x14ac:dyDescent="0.25">
      <c r="A57" s="2">
        <v>37469</v>
      </c>
      <c r="B57" s="1">
        <v>1.1553</v>
      </c>
      <c r="F57" s="68">
        <v>33390</v>
      </c>
      <c r="G57" s="69">
        <v>0.23</v>
      </c>
    </row>
    <row r="58" spans="1:7" ht="14.25" customHeight="1" x14ac:dyDescent="0.25">
      <c r="A58" s="2">
        <v>37500</v>
      </c>
      <c r="B58" s="1">
        <v>1.0565</v>
      </c>
      <c r="F58" s="68">
        <v>33420</v>
      </c>
      <c r="G58" s="69">
        <v>0.25</v>
      </c>
    </row>
    <row r="59" spans="1:7" ht="14.25" customHeight="1" x14ac:dyDescent="0.25">
      <c r="A59" s="2">
        <v>37530</v>
      </c>
      <c r="B59" s="1">
        <v>0.75600000000000001</v>
      </c>
      <c r="F59" s="68">
        <v>33451</v>
      </c>
      <c r="G59" s="69">
        <v>0.34</v>
      </c>
    </row>
    <row r="60" spans="1:7" ht="14.25" customHeight="1" x14ac:dyDescent="0.25">
      <c r="A60" s="2">
        <v>37561</v>
      </c>
      <c r="B60" s="1">
        <v>0.62490000000000001</v>
      </c>
      <c r="F60" s="68">
        <v>33482</v>
      </c>
      <c r="G60" s="69">
        <v>0.19</v>
      </c>
    </row>
    <row r="61" spans="1:7" ht="14.25" customHeight="1" x14ac:dyDescent="0.25">
      <c r="A61" s="2">
        <v>37591</v>
      </c>
      <c r="B61" s="1">
        <v>0.54710000000000003</v>
      </c>
      <c r="F61" s="68">
        <v>33512</v>
      </c>
      <c r="G61" s="69">
        <v>0.36</v>
      </c>
    </row>
    <row r="62" spans="1:7" ht="14.25" customHeight="1" x14ac:dyDescent="0.25">
      <c r="A62" s="2">
        <v>37622</v>
      </c>
      <c r="B62" s="1">
        <v>0.58240000000000003</v>
      </c>
      <c r="F62" s="68">
        <v>33543</v>
      </c>
      <c r="G62" s="69">
        <v>0.43</v>
      </c>
    </row>
    <row r="63" spans="1:7" ht="14.25" customHeight="1" x14ac:dyDescent="0.25">
      <c r="A63" s="2">
        <v>37653</v>
      </c>
      <c r="B63" s="1">
        <v>0.48659999999999998</v>
      </c>
      <c r="F63" s="68">
        <v>33573</v>
      </c>
      <c r="G63" s="69">
        <v>0.85</v>
      </c>
    </row>
    <row r="64" spans="1:7" ht="14.25" customHeight="1" x14ac:dyDescent="0.25">
      <c r="A64" s="2">
        <v>37681</v>
      </c>
      <c r="B64" s="1">
        <v>0.53090000000000004</v>
      </c>
      <c r="F64" s="68">
        <v>33604</v>
      </c>
      <c r="G64" s="69">
        <v>0.21</v>
      </c>
    </row>
    <row r="65" spans="1:7" ht="14.25" customHeight="1" x14ac:dyDescent="0.25">
      <c r="A65" s="2">
        <v>37712</v>
      </c>
      <c r="B65" s="1">
        <v>0.51290000000000002</v>
      </c>
      <c r="F65" s="68">
        <v>33635</v>
      </c>
      <c r="G65" s="69">
        <v>0.34</v>
      </c>
    </row>
    <row r="66" spans="1:7" ht="14.25" customHeight="1" x14ac:dyDescent="0.25">
      <c r="A66" s="2">
        <v>37742</v>
      </c>
      <c r="B66" s="1">
        <v>0.60970000000000002</v>
      </c>
      <c r="F66" s="68">
        <v>33664</v>
      </c>
      <c r="G66" s="69">
        <v>0.38</v>
      </c>
    </row>
    <row r="67" spans="1:7" ht="14.25" customHeight="1" x14ac:dyDescent="0.25">
      <c r="A67" s="2">
        <v>37773</v>
      </c>
      <c r="B67" s="1">
        <v>0.81740000000000002</v>
      </c>
      <c r="F67" s="68">
        <v>33695</v>
      </c>
      <c r="G67" s="69">
        <v>0.23</v>
      </c>
    </row>
    <row r="68" spans="1:7" ht="14.25" customHeight="1" x14ac:dyDescent="0.25">
      <c r="A68" s="2">
        <v>37803</v>
      </c>
      <c r="B68" s="1">
        <v>0.97729999999999995</v>
      </c>
      <c r="F68" s="68">
        <v>33725</v>
      </c>
      <c r="G68" s="69">
        <v>0.21</v>
      </c>
    </row>
    <row r="69" spans="1:7" ht="14.25" customHeight="1" x14ac:dyDescent="0.25">
      <c r="A69" s="2">
        <v>37834</v>
      </c>
      <c r="B69" s="1">
        <v>1.2015</v>
      </c>
      <c r="F69" s="68">
        <v>33756</v>
      </c>
      <c r="G69" s="69">
        <v>0.4</v>
      </c>
    </row>
    <row r="70" spans="1:7" ht="14.25" customHeight="1" x14ac:dyDescent="0.25">
      <c r="A70" s="2">
        <v>37865</v>
      </c>
      <c r="B70" s="1">
        <v>1.1603000000000001</v>
      </c>
      <c r="F70" s="68">
        <v>33786</v>
      </c>
      <c r="G70" s="69">
        <v>0.27</v>
      </c>
    </row>
    <row r="71" spans="1:7" ht="14.25" customHeight="1" x14ac:dyDescent="0.25">
      <c r="A71" s="2">
        <v>37895</v>
      </c>
      <c r="B71" s="1">
        <v>0.88729999999999998</v>
      </c>
      <c r="F71" s="68">
        <v>33817</v>
      </c>
      <c r="G71" s="69">
        <v>0.26</v>
      </c>
    </row>
    <row r="72" spans="1:7" ht="14.25" customHeight="1" x14ac:dyDescent="0.25">
      <c r="A72" s="2">
        <v>37926</v>
      </c>
      <c r="B72" s="1">
        <v>0.67469999999999997</v>
      </c>
      <c r="F72" s="68">
        <v>33848</v>
      </c>
      <c r="G72" s="69">
        <v>0.22</v>
      </c>
    </row>
    <row r="73" spans="1:7" ht="14.25" customHeight="1" x14ac:dyDescent="0.25">
      <c r="A73" s="2">
        <v>37956</v>
      </c>
      <c r="B73" s="1">
        <v>0.63219999999999998</v>
      </c>
      <c r="F73" s="68">
        <v>33878</v>
      </c>
      <c r="G73" s="69">
        <v>0.26</v>
      </c>
    </row>
    <row r="74" spans="1:7" ht="14.25" customHeight="1" x14ac:dyDescent="0.25">
      <c r="A74" s="2">
        <v>37987</v>
      </c>
      <c r="B74" s="1">
        <v>0.89270000000000005</v>
      </c>
      <c r="F74" s="68">
        <v>33909</v>
      </c>
      <c r="G74" s="69">
        <v>0.24</v>
      </c>
    </row>
    <row r="75" spans="1:7" ht="14.25" customHeight="1" x14ac:dyDescent="0.25">
      <c r="A75" s="2">
        <v>38018</v>
      </c>
      <c r="B75" s="1">
        <v>0.54930000000000001</v>
      </c>
      <c r="F75" s="68">
        <v>33939</v>
      </c>
      <c r="G75" s="69">
        <v>0.24</v>
      </c>
    </row>
    <row r="76" spans="1:7" ht="14.25" customHeight="1" x14ac:dyDescent="0.25">
      <c r="A76" s="2">
        <v>38047</v>
      </c>
      <c r="B76" s="1">
        <v>0.4995</v>
      </c>
      <c r="D76" s="2">
        <v>35796</v>
      </c>
      <c r="E76" s="3">
        <v>0.35730000000000001</v>
      </c>
      <c r="F76" s="68">
        <v>35796</v>
      </c>
      <c r="G76" s="69">
        <v>0.4</v>
      </c>
    </row>
    <row r="77" spans="1:7" ht="14.25" customHeight="1" x14ac:dyDescent="0.25">
      <c r="A77" s="2">
        <v>38078</v>
      </c>
      <c r="B77" s="1">
        <v>0.51049999999999995</v>
      </c>
      <c r="D77" s="2">
        <v>35827</v>
      </c>
      <c r="E77" s="3">
        <v>0.45219999999999999</v>
      </c>
      <c r="F77" s="68">
        <v>35827</v>
      </c>
      <c r="G77" s="69">
        <v>0</v>
      </c>
    </row>
    <row r="78" spans="1:7" ht="14.25" customHeight="1" x14ac:dyDescent="0.25">
      <c r="A78" s="2">
        <v>38108</v>
      </c>
      <c r="B78" s="1">
        <v>0.62909999999999999</v>
      </c>
      <c r="D78" s="2">
        <v>35855</v>
      </c>
      <c r="E78" s="3">
        <v>0.4889</v>
      </c>
      <c r="F78" s="68">
        <v>35947</v>
      </c>
      <c r="G78" s="69">
        <v>0</v>
      </c>
    </row>
    <row r="79" spans="1:7" ht="14.25" customHeight="1" x14ac:dyDescent="0.25">
      <c r="A79" s="2">
        <v>38139</v>
      </c>
      <c r="B79" s="1">
        <v>0.78220000000000001</v>
      </c>
      <c r="D79" s="2">
        <v>35886</v>
      </c>
      <c r="E79" s="3">
        <v>0.31119999999999998</v>
      </c>
      <c r="F79" s="68">
        <v>35977</v>
      </c>
      <c r="G79" s="69">
        <v>0.1</v>
      </c>
    </row>
    <row r="80" spans="1:7" ht="14.25" customHeight="1" x14ac:dyDescent="0.25">
      <c r="A80" s="2">
        <v>38169</v>
      </c>
      <c r="B80" s="1">
        <v>1.1125</v>
      </c>
      <c r="D80" s="2">
        <v>35916</v>
      </c>
      <c r="E80" s="3">
        <v>0.39090000000000003</v>
      </c>
      <c r="F80" s="68">
        <v>36008</v>
      </c>
      <c r="G80" s="69">
        <v>0.4</v>
      </c>
    </row>
    <row r="81" spans="1:7" ht="14.25" customHeight="1" x14ac:dyDescent="0.25">
      <c r="A81" s="2">
        <v>38200</v>
      </c>
      <c r="B81" s="1">
        <v>1.4648000000000001</v>
      </c>
      <c r="D81" s="2">
        <v>35947</v>
      </c>
      <c r="E81" s="3">
        <v>0.4486</v>
      </c>
      <c r="F81" s="68">
        <v>36039</v>
      </c>
      <c r="G81" s="69">
        <v>0.1</v>
      </c>
    </row>
    <row r="82" spans="1:7" ht="14.25" customHeight="1" x14ac:dyDescent="0.25">
      <c r="A82" s="2">
        <v>38231</v>
      </c>
      <c r="B82" s="1">
        <v>1.17</v>
      </c>
      <c r="D82" s="2">
        <v>35977</v>
      </c>
      <c r="E82" s="3">
        <v>0.66049999999999998</v>
      </c>
      <c r="F82" s="68">
        <v>36069</v>
      </c>
      <c r="G82" s="69">
        <v>0.1</v>
      </c>
    </row>
    <row r="83" spans="1:7" ht="14.25" customHeight="1" x14ac:dyDescent="0.25">
      <c r="A83" s="2">
        <v>38261</v>
      </c>
      <c r="B83" s="1">
        <v>1.2013</v>
      </c>
      <c r="D83" s="2">
        <v>36008</v>
      </c>
      <c r="E83" s="3">
        <v>0.63139999999999996</v>
      </c>
      <c r="F83" s="68">
        <v>36100</v>
      </c>
      <c r="G83" s="69">
        <v>0.1</v>
      </c>
    </row>
    <row r="84" spans="1:7" ht="14.25" customHeight="1" x14ac:dyDescent="0.25">
      <c r="A84" s="2">
        <v>38292</v>
      </c>
      <c r="B84" s="1">
        <v>0.62760000000000005</v>
      </c>
      <c r="D84" s="2">
        <v>36039</v>
      </c>
      <c r="E84" s="3">
        <v>0.47520000000000001</v>
      </c>
      <c r="F84" s="68">
        <v>36130</v>
      </c>
      <c r="G84" s="69">
        <v>0.1</v>
      </c>
    </row>
    <row r="85" spans="1:7" ht="14.25" customHeight="1" x14ac:dyDescent="0.25">
      <c r="A85" s="2">
        <v>38322</v>
      </c>
      <c r="B85" s="1">
        <v>0.6673</v>
      </c>
      <c r="D85" s="2">
        <v>36069</v>
      </c>
      <c r="E85" s="3">
        <v>0.52080000000000004</v>
      </c>
    </row>
    <row r="86" spans="1:7" ht="14.25" customHeight="1" x14ac:dyDescent="0.25">
      <c r="A86" s="2">
        <v>38353</v>
      </c>
      <c r="B86" s="1">
        <v>0.57650000000000001</v>
      </c>
      <c r="D86" s="2">
        <v>36100</v>
      </c>
      <c r="E86" s="3">
        <v>0.6129</v>
      </c>
    </row>
    <row r="87" spans="1:7" ht="14.25" customHeight="1" x14ac:dyDescent="0.25">
      <c r="A87" s="2">
        <v>38384</v>
      </c>
      <c r="B87" s="1">
        <v>0.66459999999999997</v>
      </c>
      <c r="D87" s="2">
        <v>36130</v>
      </c>
      <c r="E87" s="3">
        <v>0.4672</v>
      </c>
    </row>
    <row r="88" spans="1:7" ht="14.25" customHeight="1" x14ac:dyDescent="0.25">
      <c r="A88" s="2">
        <v>38412</v>
      </c>
      <c r="B88" s="1">
        <v>0.53900000000000003</v>
      </c>
      <c r="D88" s="2">
        <v>36161</v>
      </c>
      <c r="E88" s="3">
        <v>0.497</v>
      </c>
    </row>
    <row r="89" spans="1:7" ht="14.25" customHeight="1" x14ac:dyDescent="0.25">
      <c r="A89" s="2">
        <v>38443</v>
      </c>
      <c r="B89" s="1">
        <v>0.67669999999999997</v>
      </c>
      <c r="D89" s="2">
        <v>36192</v>
      </c>
      <c r="E89" s="3">
        <v>0.42980000000000002</v>
      </c>
    </row>
    <row r="90" spans="1:7" ht="14.25" customHeight="1" x14ac:dyDescent="0.25">
      <c r="A90" s="2">
        <v>38473</v>
      </c>
      <c r="B90" s="1">
        <v>0.69030000000000002</v>
      </c>
      <c r="D90" s="2">
        <v>36220</v>
      </c>
      <c r="E90" s="3">
        <v>0.34320000000000001</v>
      </c>
    </row>
    <row r="91" spans="1:7" ht="14.25" customHeight="1" x14ac:dyDescent="0.25">
      <c r="A91" s="2">
        <v>38504</v>
      </c>
      <c r="B91" s="1">
        <v>0.97599999999999998</v>
      </c>
      <c r="D91" s="2">
        <v>36251</v>
      </c>
      <c r="E91" s="3">
        <v>0.44940000000000002</v>
      </c>
    </row>
    <row r="92" spans="1:7" ht="14.25" customHeight="1" x14ac:dyDescent="0.25">
      <c r="A92" s="2">
        <v>38534</v>
      </c>
      <c r="B92" s="1">
        <v>1.0707</v>
      </c>
      <c r="D92" s="2">
        <v>36281</v>
      </c>
      <c r="E92" s="3">
        <v>0.66669999999999996</v>
      </c>
    </row>
    <row r="93" spans="1:7" ht="14.25" customHeight="1" x14ac:dyDescent="0.25">
      <c r="A93" s="2">
        <v>38565</v>
      </c>
      <c r="B93" s="1">
        <v>1.5275000000000001</v>
      </c>
      <c r="D93" s="2">
        <v>36312</v>
      </c>
      <c r="E93" s="3">
        <v>0.60319999999999996</v>
      </c>
    </row>
    <row r="94" spans="1:7" ht="14.25" customHeight="1" x14ac:dyDescent="0.25">
      <c r="A94" s="2">
        <v>38596</v>
      </c>
      <c r="B94" s="1">
        <v>1.0331999999999999</v>
      </c>
      <c r="D94" s="2">
        <v>36342</v>
      </c>
      <c r="E94" s="3">
        <v>0.52</v>
      </c>
    </row>
    <row r="95" spans="1:7" ht="14.25" customHeight="1" x14ac:dyDescent="0.25">
      <c r="A95" s="2">
        <v>38626</v>
      </c>
      <c r="B95" s="1">
        <v>0.76690000000000003</v>
      </c>
      <c r="D95" s="2">
        <v>36373</v>
      </c>
      <c r="E95" s="3">
        <v>0.39589999999999997</v>
      </c>
    </row>
    <row r="96" spans="1:7" ht="14.25" customHeight="1" x14ac:dyDescent="0.25">
      <c r="A96" s="2">
        <v>38657</v>
      </c>
      <c r="B96" s="1">
        <v>0.67110000000000003</v>
      </c>
      <c r="D96" s="2">
        <v>36404</v>
      </c>
      <c r="E96" s="3">
        <v>0.75700000000000001</v>
      </c>
    </row>
    <row r="97" spans="1:9" ht="14.25" customHeight="1" x14ac:dyDescent="0.25">
      <c r="A97" s="2">
        <v>38687</v>
      </c>
      <c r="B97" s="1">
        <v>0.68610000000000004</v>
      </c>
      <c r="D97" s="2">
        <v>36434</v>
      </c>
      <c r="E97" s="3">
        <v>0.52049999999999996</v>
      </c>
    </row>
    <row r="98" spans="1:9" ht="14.25" customHeight="1" x14ac:dyDescent="0.25">
      <c r="A98" s="2">
        <v>38718</v>
      </c>
      <c r="B98" s="1">
        <v>0.74380000000000002</v>
      </c>
      <c r="D98" s="2">
        <v>36465</v>
      </c>
      <c r="E98" s="3">
        <v>0.32850000000000001</v>
      </c>
    </row>
    <row r="99" spans="1:9" ht="14.25" customHeight="1" x14ac:dyDescent="0.25">
      <c r="A99" s="2">
        <v>38749</v>
      </c>
      <c r="B99" s="1">
        <v>0.90290000000000004</v>
      </c>
      <c r="D99" s="2">
        <v>36495</v>
      </c>
      <c r="E99" s="3">
        <v>0.39410000000000001</v>
      </c>
    </row>
    <row r="100" spans="1:9" ht="14.25" customHeight="1" x14ac:dyDescent="0.25">
      <c r="A100" s="2">
        <v>38777</v>
      </c>
      <c r="B100" s="1">
        <v>0.57979999999999998</v>
      </c>
      <c r="D100" s="7">
        <v>36526</v>
      </c>
      <c r="E100" s="8">
        <v>0.34710000000000002</v>
      </c>
      <c r="F100" s="72"/>
    </row>
    <row r="101" spans="1:9" ht="14.25" customHeight="1" x14ac:dyDescent="0.25">
      <c r="A101" s="2">
        <v>38808</v>
      </c>
      <c r="B101" s="1">
        <v>0.64359999999999995</v>
      </c>
      <c r="D101" s="2">
        <v>36557</v>
      </c>
      <c r="E101" s="3">
        <v>0.62590000000000001</v>
      </c>
      <c r="I101" s="3">
        <f>AVERAGE(E101:E279)</f>
        <v>0.94098258426966375</v>
      </c>
    </row>
    <row r="102" spans="1:9" ht="14.25" customHeight="1" x14ac:dyDescent="0.25">
      <c r="A102" s="2">
        <v>38838</v>
      </c>
      <c r="B102" s="1">
        <v>0.74980000000000002</v>
      </c>
      <c r="D102" s="2">
        <v>36586</v>
      </c>
      <c r="E102" s="3">
        <v>0.98040000000000005</v>
      </c>
    </row>
    <row r="103" spans="1:9" ht="14.25" customHeight="1" x14ac:dyDescent="0.25">
      <c r="A103" s="2">
        <v>38869</v>
      </c>
      <c r="B103" s="1">
        <v>0.8397</v>
      </c>
      <c r="D103" s="2">
        <v>36617</v>
      </c>
      <c r="E103" s="3">
        <v>0.85029999999999994</v>
      </c>
    </row>
    <row r="104" spans="1:9" ht="14.25" customHeight="1" x14ac:dyDescent="0.25">
      <c r="A104" s="2">
        <v>38899</v>
      </c>
      <c r="B104" s="1">
        <v>1.0643</v>
      </c>
      <c r="D104" s="2">
        <v>36647</v>
      </c>
      <c r="E104" s="3">
        <v>0.4667</v>
      </c>
    </row>
    <row r="105" spans="1:9" ht="14.25" customHeight="1" x14ac:dyDescent="0.25">
      <c r="A105" s="2">
        <v>38930</v>
      </c>
      <c r="B105" s="1">
        <v>1.2102999999999999</v>
      </c>
      <c r="D105" s="2">
        <v>36678</v>
      </c>
      <c r="E105" s="3">
        <v>0.60909999999999997</v>
      </c>
    </row>
    <row r="106" spans="1:9" ht="14.25" customHeight="1" x14ac:dyDescent="0.25">
      <c r="A106" s="2">
        <v>38961</v>
      </c>
      <c r="B106" s="1">
        <v>0.92279999999999995</v>
      </c>
      <c r="D106" s="2">
        <v>36708</v>
      </c>
      <c r="E106" s="3">
        <v>0.58109999999999995</v>
      </c>
    </row>
    <row r="107" spans="1:9" ht="14.25" customHeight="1" x14ac:dyDescent="0.25">
      <c r="A107" s="2">
        <v>38991</v>
      </c>
      <c r="B107" s="1">
        <v>0.85599999999999998</v>
      </c>
      <c r="D107" s="2">
        <v>36739</v>
      </c>
      <c r="E107" s="3">
        <v>0.48459999999999998</v>
      </c>
    </row>
    <row r="108" spans="1:9" ht="14.25" customHeight="1" x14ac:dyDescent="0.25">
      <c r="A108" s="2">
        <v>39022</v>
      </c>
      <c r="B108" s="1">
        <v>0.86260000000000003</v>
      </c>
      <c r="D108" s="2">
        <v>36770</v>
      </c>
      <c r="E108" s="3">
        <v>0.54890000000000005</v>
      </c>
    </row>
    <row r="109" spans="1:9" ht="14.25" customHeight="1" x14ac:dyDescent="0.25">
      <c r="A109" s="2">
        <v>39052</v>
      </c>
      <c r="B109" s="1">
        <v>0.76649999999999996</v>
      </c>
      <c r="D109" s="2">
        <v>36800</v>
      </c>
      <c r="E109" s="3">
        <v>0.68210000000000004</v>
      </c>
    </row>
    <row r="110" spans="1:9" ht="14.25" customHeight="1" x14ac:dyDescent="0.25">
      <c r="A110" s="2">
        <v>39083</v>
      </c>
      <c r="B110" s="1">
        <v>0.81710000000000005</v>
      </c>
      <c r="D110" s="2">
        <v>36831</v>
      </c>
      <c r="E110" s="3">
        <v>0.29409999999999997</v>
      </c>
    </row>
    <row r="111" spans="1:9" ht="14.25" customHeight="1" x14ac:dyDescent="0.25">
      <c r="A111" s="2">
        <v>39114</v>
      </c>
      <c r="B111" s="1">
        <v>0.73160000000000003</v>
      </c>
      <c r="D111" s="2">
        <v>36861</v>
      </c>
      <c r="E111" s="3">
        <v>0.63429999999999997</v>
      </c>
    </row>
    <row r="112" spans="1:9" ht="14.25" customHeight="1" x14ac:dyDescent="0.25">
      <c r="A112" s="2">
        <v>39142</v>
      </c>
      <c r="B112" s="1">
        <v>0.69140000000000001</v>
      </c>
      <c r="D112" s="2">
        <v>36892</v>
      </c>
      <c r="E112" s="3">
        <v>0.64939999999999998</v>
      </c>
    </row>
    <row r="113" spans="1:5" ht="14.25" customHeight="1" x14ac:dyDescent="0.25">
      <c r="A113" s="2">
        <v>39173</v>
      </c>
      <c r="B113" s="1">
        <v>0.5343</v>
      </c>
      <c r="D113" s="2">
        <v>36923</v>
      </c>
      <c r="E113" s="3">
        <v>0.60860000000000003</v>
      </c>
    </row>
    <row r="114" spans="1:5" ht="14.25" customHeight="1" x14ac:dyDescent="0.25">
      <c r="A114" s="2">
        <v>39203</v>
      </c>
      <c r="B114" s="1">
        <v>0.7228</v>
      </c>
      <c r="D114" s="2">
        <v>36951</v>
      </c>
      <c r="E114" s="3">
        <v>0.77100000000000002</v>
      </c>
    </row>
    <row r="115" spans="1:5" ht="14.25" customHeight="1" x14ac:dyDescent="0.25">
      <c r="A115" s="2">
        <v>39234</v>
      </c>
      <c r="B115" s="1">
        <v>0.71550000000000002</v>
      </c>
      <c r="D115" s="2">
        <v>36982</v>
      </c>
      <c r="E115" s="3">
        <v>0.7752</v>
      </c>
    </row>
    <row r="116" spans="1:5" ht="14.25" customHeight="1" x14ac:dyDescent="0.25">
      <c r="A116" s="2">
        <v>39264</v>
      </c>
      <c r="B116" s="1">
        <v>1.1554</v>
      </c>
      <c r="D116" s="2">
        <v>37012</v>
      </c>
      <c r="E116" s="3">
        <v>0.69169999999999998</v>
      </c>
    </row>
    <row r="117" spans="1:5" ht="14.25" customHeight="1" x14ac:dyDescent="0.25">
      <c r="A117" s="2">
        <v>39295</v>
      </c>
      <c r="B117" s="1">
        <v>1.3715999999999999</v>
      </c>
      <c r="D117" s="2">
        <v>37043</v>
      </c>
      <c r="E117" s="3">
        <v>0.64439999999999997</v>
      </c>
    </row>
    <row r="118" spans="1:5" ht="14.25" customHeight="1" x14ac:dyDescent="0.25">
      <c r="A118" s="2">
        <v>39326</v>
      </c>
      <c r="B118" s="1">
        <v>1.1895</v>
      </c>
      <c r="D118" s="2">
        <v>37073</v>
      </c>
      <c r="E118" s="3">
        <v>0.7641</v>
      </c>
    </row>
    <row r="119" spans="1:5" ht="14.25" customHeight="1" x14ac:dyDescent="0.25">
      <c r="A119" s="2">
        <v>39356</v>
      </c>
      <c r="B119" s="1">
        <v>1.1589</v>
      </c>
      <c r="D119" s="2">
        <v>37104</v>
      </c>
      <c r="E119" s="5">
        <v>1.167</v>
      </c>
    </row>
    <row r="120" spans="1:5" ht="14.25" customHeight="1" x14ac:dyDescent="0.25">
      <c r="A120" s="2">
        <v>39387</v>
      </c>
      <c r="B120" s="1">
        <v>0.69989999999999997</v>
      </c>
      <c r="D120" s="2">
        <v>37135</v>
      </c>
      <c r="E120" s="3">
        <v>0.49669999999999997</v>
      </c>
    </row>
    <row r="121" spans="1:5" ht="14.25" customHeight="1" x14ac:dyDescent="0.25">
      <c r="A121" s="2">
        <v>39417</v>
      </c>
      <c r="B121" s="1">
        <v>0.75239999999999996</v>
      </c>
      <c r="D121" s="2">
        <v>37165</v>
      </c>
      <c r="E121" s="3">
        <v>0.32190000000000002</v>
      </c>
    </row>
    <row r="122" spans="1:5" ht="14.25" customHeight="1" x14ac:dyDescent="0.25">
      <c r="A122" s="2">
        <v>39448</v>
      </c>
      <c r="B122" s="1">
        <v>0.72409999999999997</v>
      </c>
      <c r="D122" s="2">
        <v>37196</v>
      </c>
      <c r="E122" s="3">
        <v>0.64170000000000005</v>
      </c>
    </row>
    <row r="123" spans="1:5" ht="14.25" customHeight="1" x14ac:dyDescent="0.25">
      <c r="A123" s="2">
        <v>39479</v>
      </c>
      <c r="B123" s="1">
        <v>0.76429999999999998</v>
      </c>
      <c r="D123" s="2">
        <v>37226</v>
      </c>
      <c r="E123" s="3">
        <v>0.38740000000000002</v>
      </c>
    </row>
    <row r="124" spans="1:5" ht="14.25" customHeight="1" x14ac:dyDescent="0.25">
      <c r="A124" s="2">
        <v>39508</v>
      </c>
      <c r="B124" s="1">
        <v>0.62509999999999999</v>
      </c>
      <c r="D124" s="2">
        <v>37257</v>
      </c>
      <c r="E124" s="3">
        <v>0.65710000000000002</v>
      </c>
    </row>
    <row r="125" spans="1:5" ht="14.25" customHeight="1" x14ac:dyDescent="0.25">
      <c r="A125" s="2">
        <v>39539</v>
      </c>
      <c r="B125" s="1">
        <v>0.5292</v>
      </c>
      <c r="D125" s="2">
        <v>37288</v>
      </c>
      <c r="E125" s="3">
        <v>0.53249999999999997</v>
      </c>
    </row>
    <row r="126" spans="1:5" ht="14.25" customHeight="1" x14ac:dyDescent="0.25">
      <c r="A126" s="2">
        <v>39569</v>
      </c>
      <c r="B126" s="1">
        <v>0.60929999999999995</v>
      </c>
      <c r="D126" s="2">
        <v>37316</v>
      </c>
      <c r="E126" s="3">
        <v>0.67120000000000002</v>
      </c>
    </row>
    <row r="127" spans="1:5" ht="14.25" customHeight="1" x14ac:dyDescent="0.25">
      <c r="A127" s="2">
        <v>39600</v>
      </c>
      <c r="B127" s="1">
        <v>0.90469999999999995</v>
      </c>
      <c r="D127" s="2">
        <v>37347</v>
      </c>
      <c r="E127" s="5">
        <v>1.004</v>
      </c>
    </row>
    <row r="128" spans="1:5" ht="14.25" customHeight="1" x14ac:dyDescent="0.25">
      <c r="A128" s="2">
        <v>39630</v>
      </c>
      <c r="B128" s="1">
        <v>1.3757999999999999</v>
      </c>
      <c r="D128" s="2">
        <v>37377</v>
      </c>
      <c r="E128" s="5">
        <v>1.0851999999999999</v>
      </c>
    </row>
    <row r="129" spans="1:7" ht="14.25" customHeight="1" x14ac:dyDescent="0.25">
      <c r="A129" s="2">
        <v>39661</v>
      </c>
      <c r="B129" s="1">
        <v>1.6105</v>
      </c>
      <c r="D129" s="2">
        <v>37408</v>
      </c>
      <c r="E129" s="3">
        <v>0.8125</v>
      </c>
    </row>
    <row r="130" spans="1:7" ht="14.25" customHeight="1" x14ac:dyDescent="0.25">
      <c r="A130" s="2">
        <v>39692</v>
      </c>
      <c r="B130" s="1">
        <v>1.3383</v>
      </c>
      <c r="D130" s="2">
        <v>37438</v>
      </c>
      <c r="E130" s="3">
        <v>0.89659999999999995</v>
      </c>
    </row>
    <row r="131" spans="1:7" ht="14.25" customHeight="1" x14ac:dyDescent="0.25">
      <c r="A131" s="2">
        <v>39722</v>
      </c>
      <c r="B131" s="1">
        <v>1.623</v>
      </c>
      <c r="D131" s="2">
        <v>37469</v>
      </c>
      <c r="E131" s="5">
        <v>1.1553</v>
      </c>
    </row>
    <row r="132" spans="1:7" ht="14.25" customHeight="1" x14ac:dyDescent="0.25">
      <c r="A132" s="2">
        <v>39753</v>
      </c>
      <c r="B132" s="1">
        <v>0.72919999999999996</v>
      </c>
      <c r="D132" s="2">
        <v>37500</v>
      </c>
      <c r="E132" s="5">
        <v>1.0565</v>
      </c>
    </row>
    <row r="133" spans="1:7" ht="14.25" customHeight="1" x14ac:dyDescent="0.25">
      <c r="A133" s="2">
        <v>39783</v>
      </c>
      <c r="B133" s="1">
        <v>0.88759999999999994</v>
      </c>
      <c r="D133" s="2">
        <v>37530</v>
      </c>
      <c r="E133" s="3">
        <v>0.75600000000000001</v>
      </c>
    </row>
    <row r="134" spans="1:7" ht="14.25" customHeight="1" x14ac:dyDescent="0.25">
      <c r="A134" s="2">
        <v>39814</v>
      </c>
      <c r="B134" s="1">
        <v>1.169</v>
      </c>
      <c r="D134" s="2">
        <v>37561</v>
      </c>
      <c r="E134" s="3">
        <v>0.62490000000000001</v>
      </c>
    </row>
    <row r="135" spans="1:7" ht="14.25" customHeight="1" x14ac:dyDescent="0.25">
      <c r="A135" s="2">
        <v>39845</v>
      </c>
      <c r="B135" s="1">
        <v>0.77759999999999996</v>
      </c>
      <c r="D135" s="2">
        <v>37591</v>
      </c>
      <c r="E135" s="3">
        <v>0.54710000000000003</v>
      </c>
    </row>
    <row r="136" spans="1:7" ht="14.25" customHeight="1" x14ac:dyDescent="0.25">
      <c r="A136" s="2">
        <v>39873</v>
      </c>
      <c r="B136" s="1">
        <v>0.86770000000000003</v>
      </c>
      <c r="D136" s="2">
        <v>37622</v>
      </c>
      <c r="E136" s="3">
        <v>0.58240000000000003</v>
      </c>
      <c r="F136" s="68">
        <v>37622</v>
      </c>
      <c r="G136" s="69">
        <v>0.56000000000000005</v>
      </c>
    </row>
    <row r="137" spans="1:7" ht="14.25" customHeight="1" x14ac:dyDescent="0.25">
      <c r="A137" s="2">
        <v>39904</v>
      </c>
      <c r="B137" s="1">
        <v>1.2446999999999999</v>
      </c>
      <c r="D137" s="2">
        <v>37653</v>
      </c>
      <c r="E137" s="3">
        <v>0.48659999999999998</v>
      </c>
      <c r="F137" s="68">
        <v>37653</v>
      </c>
      <c r="G137" s="69">
        <v>0.57999999999999996</v>
      </c>
    </row>
    <row r="138" spans="1:7" ht="14.25" customHeight="1" x14ac:dyDescent="0.25">
      <c r="A138" s="2">
        <v>39934</v>
      </c>
      <c r="B138" s="1">
        <v>1.0274000000000001</v>
      </c>
      <c r="D138" s="2">
        <v>37681</v>
      </c>
      <c r="E138" s="3">
        <v>0.53090000000000004</v>
      </c>
      <c r="F138" s="68">
        <v>37681</v>
      </c>
      <c r="G138" s="69">
        <v>0.62</v>
      </c>
    </row>
    <row r="139" spans="1:7" ht="14.25" customHeight="1" x14ac:dyDescent="0.25">
      <c r="A139" s="2">
        <v>39965</v>
      </c>
      <c r="B139" s="1">
        <v>1.1621999999999999</v>
      </c>
      <c r="D139" s="2">
        <v>37712</v>
      </c>
      <c r="E139" s="3">
        <v>0.51290000000000002</v>
      </c>
      <c r="F139" s="68">
        <v>37712</v>
      </c>
      <c r="G139" s="69">
        <v>0.83</v>
      </c>
    </row>
    <row r="140" spans="1:7" ht="14.25" customHeight="1" x14ac:dyDescent="0.25">
      <c r="A140" s="2">
        <v>39995</v>
      </c>
      <c r="B140" s="1">
        <v>1.0254000000000001</v>
      </c>
      <c r="D140" s="2">
        <v>37742</v>
      </c>
      <c r="E140" s="3">
        <v>0.60970000000000002</v>
      </c>
      <c r="F140" s="68">
        <v>37742</v>
      </c>
      <c r="G140" s="69">
        <v>0.85</v>
      </c>
    </row>
    <row r="141" spans="1:7" ht="14.25" customHeight="1" x14ac:dyDescent="0.25">
      <c r="A141" s="2">
        <v>40026</v>
      </c>
      <c r="B141" s="1">
        <v>1.1752</v>
      </c>
      <c r="D141" s="2">
        <v>37773</v>
      </c>
      <c r="E141" s="3">
        <v>0.81740000000000002</v>
      </c>
      <c r="F141" s="68">
        <v>37773</v>
      </c>
      <c r="G141" s="69">
        <v>0.9</v>
      </c>
    </row>
    <row r="142" spans="1:7" ht="14.25" customHeight="1" x14ac:dyDescent="0.25">
      <c r="A142" s="2">
        <v>40057</v>
      </c>
      <c r="B142" s="1">
        <v>1.0234000000000001</v>
      </c>
      <c r="D142" s="2">
        <v>37803</v>
      </c>
      <c r="E142" s="3">
        <v>0.97729999999999995</v>
      </c>
      <c r="F142" s="68">
        <v>37803</v>
      </c>
      <c r="G142" s="69">
        <v>0.77</v>
      </c>
    </row>
    <row r="143" spans="1:7" ht="14.25" customHeight="1" x14ac:dyDescent="0.25">
      <c r="A143" s="2">
        <v>40087</v>
      </c>
      <c r="B143" s="1">
        <v>1.2804</v>
      </c>
      <c r="D143" s="2">
        <v>37834</v>
      </c>
      <c r="E143" s="5">
        <v>1.2015</v>
      </c>
      <c r="F143" s="68">
        <v>37834</v>
      </c>
      <c r="G143" s="69">
        <v>0.66</v>
      </c>
    </row>
    <row r="144" spans="1:7" ht="14.25" customHeight="1" x14ac:dyDescent="0.25">
      <c r="A144" s="2">
        <v>40118</v>
      </c>
      <c r="B144" s="1">
        <v>0.9032</v>
      </c>
      <c r="D144" s="2">
        <v>37865</v>
      </c>
      <c r="E144" s="5">
        <v>1.1603000000000001</v>
      </c>
      <c r="F144" s="68">
        <v>37865</v>
      </c>
      <c r="G144" s="69">
        <v>0.74</v>
      </c>
    </row>
    <row r="145" spans="1:7" ht="14.25" customHeight="1" x14ac:dyDescent="0.25">
      <c r="A145" s="2">
        <v>40148</v>
      </c>
      <c r="B145" s="1">
        <v>0.77739999999999998</v>
      </c>
      <c r="D145" s="2">
        <v>37895</v>
      </c>
      <c r="E145" s="3">
        <v>0.88729999999999998</v>
      </c>
      <c r="F145" s="68">
        <v>37895</v>
      </c>
      <c r="G145" s="69">
        <v>0.87</v>
      </c>
    </row>
    <row r="146" spans="1:7" ht="14.25" customHeight="1" x14ac:dyDescent="0.25">
      <c r="A146" s="2">
        <v>40179</v>
      </c>
      <c r="B146" s="1">
        <v>0.85870000000000002</v>
      </c>
      <c r="D146" s="2">
        <v>37926</v>
      </c>
      <c r="E146" s="3">
        <v>0.67469999999999997</v>
      </c>
      <c r="F146" s="68">
        <v>37926</v>
      </c>
      <c r="G146" s="69">
        <v>0.84</v>
      </c>
    </row>
    <row r="147" spans="1:7" ht="14.25" customHeight="1" x14ac:dyDescent="0.25">
      <c r="A147" s="2">
        <v>40210</v>
      </c>
      <c r="B147" s="1">
        <v>1.1426000000000001</v>
      </c>
      <c r="D147" s="2">
        <v>37956</v>
      </c>
      <c r="E147" s="3">
        <v>0.63219999999999998</v>
      </c>
      <c r="F147" s="68">
        <v>37956</v>
      </c>
      <c r="G147" s="69">
        <v>0.72</v>
      </c>
    </row>
    <row r="148" spans="1:7" ht="14.25" customHeight="1" x14ac:dyDescent="0.25">
      <c r="A148" s="2">
        <v>40238</v>
      </c>
      <c r="B148" s="1">
        <v>1.405</v>
      </c>
      <c r="D148" s="2">
        <v>37987</v>
      </c>
      <c r="E148" s="3">
        <v>0.89270000000000005</v>
      </c>
      <c r="F148" s="68">
        <v>37987</v>
      </c>
      <c r="G148" s="69">
        <v>0.67</v>
      </c>
    </row>
    <row r="149" spans="1:7" ht="14.25" customHeight="1" x14ac:dyDescent="0.25">
      <c r="A149" s="2">
        <v>40269</v>
      </c>
      <c r="B149" s="1">
        <v>1.4219999999999999</v>
      </c>
      <c r="D149" s="2">
        <v>38018</v>
      </c>
      <c r="E149" s="3">
        <v>0.54930000000000001</v>
      </c>
      <c r="F149" s="68">
        <v>38018</v>
      </c>
      <c r="G149" s="69">
        <v>0.54</v>
      </c>
    </row>
    <row r="150" spans="1:7" ht="14.25" customHeight="1" x14ac:dyDescent="0.25">
      <c r="A150" s="2">
        <v>40299</v>
      </c>
      <c r="B150" s="1">
        <v>0.97519999999999996</v>
      </c>
      <c r="D150" s="2">
        <v>38047</v>
      </c>
      <c r="E150" s="3">
        <v>0.4995</v>
      </c>
      <c r="F150" s="68">
        <v>38047</v>
      </c>
      <c r="G150" s="69">
        <v>0.89</v>
      </c>
    </row>
    <row r="151" spans="1:7" ht="14.25" customHeight="1" x14ac:dyDescent="0.25">
      <c r="A151" s="2">
        <v>40330</v>
      </c>
      <c r="B151" s="1">
        <v>0.95609999999999995</v>
      </c>
      <c r="D151" s="2">
        <v>38078</v>
      </c>
      <c r="E151" s="3">
        <v>0.51049999999999995</v>
      </c>
      <c r="F151" s="68">
        <v>38078</v>
      </c>
      <c r="G151" s="70">
        <v>1.026</v>
      </c>
    </row>
    <row r="152" spans="1:7" ht="14.25" customHeight="1" x14ac:dyDescent="0.25">
      <c r="A152" s="2">
        <v>40360</v>
      </c>
      <c r="B152" s="1">
        <v>0.96819999999999995</v>
      </c>
      <c r="D152" s="2">
        <v>38108</v>
      </c>
      <c r="E152" s="3">
        <v>0.62909999999999999</v>
      </c>
      <c r="F152" s="68">
        <v>38108</v>
      </c>
      <c r="G152" s="69">
        <v>0.89</v>
      </c>
    </row>
    <row r="153" spans="1:7" ht="14.25" customHeight="1" x14ac:dyDescent="0.25">
      <c r="A153" s="2">
        <v>40391</v>
      </c>
      <c r="B153" s="1">
        <v>1.1795</v>
      </c>
      <c r="D153" s="2">
        <v>38139</v>
      </c>
      <c r="E153" s="3">
        <v>0.78220000000000001</v>
      </c>
      <c r="F153" s="68">
        <v>38139</v>
      </c>
      <c r="G153" s="69">
        <v>0.63</v>
      </c>
    </row>
    <row r="154" spans="1:7" ht="14.25" customHeight="1" x14ac:dyDescent="0.25">
      <c r="A154" s="2">
        <v>40422</v>
      </c>
      <c r="B154" s="1">
        <v>0.96460000000000001</v>
      </c>
      <c r="D154" s="2">
        <v>38169</v>
      </c>
      <c r="E154" s="5">
        <v>1.1125</v>
      </c>
      <c r="F154" s="68">
        <v>38169</v>
      </c>
      <c r="G154" s="69">
        <v>0.34399999999999997</v>
      </c>
    </row>
    <row r="155" spans="1:7" ht="14.25" customHeight="1" x14ac:dyDescent="0.25">
      <c r="A155" s="2">
        <v>40452</v>
      </c>
      <c r="B155" s="1">
        <v>0.77939999999999998</v>
      </c>
      <c r="D155" s="2">
        <v>38200</v>
      </c>
      <c r="E155" s="5">
        <v>1.4648000000000001</v>
      </c>
      <c r="F155" s="68">
        <v>38200</v>
      </c>
      <c r="G155" s="69">
        <v>0.18</v>
      </c>
    </row>
    <row r="156" spans="1:7" ht="14.25" customHeight="1" x14ac:dyDescent="0.25">
      <c r="A156" s="2">
        <v>40483</v>
      </c>
      <c r="B156" s="1">
        <v>0.6694</v>
      </c>
      <c r="D156" s="2">
        <v>38231</v>
      </c>
      <c r="E156" s="5">
        <v>1.17</v>
      </c>
      <c r="F156" s="68">
        <v>38231</v>
      </c>
      <c r="G156" s="69">
        <v>0.69</v>
      </c>
    </row>
    <row r="157" spans="1:7" ht="14.25" customHeight="1" x14ac:dyDescent="0.25">
      <c r="A157" s="2">
        <v>40513</v>
      </c>
      <c r="B157" s="1">
        <v>0.70579999999999998</v>
      </c>
      <c r="D157" s="2">
        <v>38261</v>
      </c>
      <c r="E157" s="5">
        <v>1.2013</v>
      </c>
      <c r="F157" s="68">
        <v>38261</v>
      </c>
      <c r="G157" s="69">
        <v>0.61</v>
      </c>
    </row>
    <row r="158" spans="1:7" ht="14.25" customHeight="1" x14ac:dyDescent="0.25">
      <c r="A158" s="2">
        <v>40544</v>
      </c>
      <c r="B158" s="1">
        <v>0.90700000000000003</v>
      </c>
      <c r="D158" s="2">
        <v>38292</v>
      </c>
      <c r="E158" s="3">
        <v>0.62760000000000005</v>
      </c>
      <c r="F158" s="68">
        <v>38292</v>
      </c>
      <c r="G158" s="69">
        <v>0.53</v>
      </c>
    </row>
    <row r="159" spans="1:7" ht="14.25" customHeight="1" x14ac:dyDescent="0.25">
      <c r="A159" s="2">
        <v>40575</v>
      </c>
      <c r="B159" s="1">
        <v>1.2145999999999999</v>
      </c>
      <c r="D159" s="2">
        <v>38322</v>
      </c>
      <c r="E159" s="3">
        <v>0.6673</v>
      </c>
      <c r="F159" s="68">
        <v>38322</v>
      </c>
      <c r="G159" s="69">
        <v>0.76</v>
      </c>
    </row>
    <row r="160" spans="1:7" ht="14.25" customHeight="1" x14ac:dyDescent="0.25">
      <c r="A160" s="2">
        <v>40603</v>
      </c>
      <c r="B160" s="1">
        <v>1.9579</v>
      </c>
      <c r="D160" s="2">
        <v>38353</v>
      </c>
      <c r="E160" s="3">
        <v>0.57650000000000001</v>
      </c>
    </row>
    <row r="161" spans="1:5" ht="14.25" customHeight="1" x14ac:dyDescent="0.25">
      <c r="A161" s="2">
        <v>40634</v>
      </c>
      <c r="B161" s="1">
        <v>1.2521</v>
      </c>
      <c r="D161" s="2">
        <v>38384</v>
      </c>
      <c r="E161" s="3">
        <v>0.66459999999999997</v>
      </c>
    </row>
    <row r="162" spans="1:5" ht="14.25" customHeight="1" x14ac:dyDescent="0.25">
      <c r="A162" s="2">
        <v>40664</v>
      </c>
      <c r="B162" s="1">
        <v>0.65629999999999999</v>
      </c>
      <c r="D162" s="2">
        <v>38412</v>
      </c>
      <c r="E162" s="3">
        <v>0.53900000000000003</v>
      </c>
    </row>
    <row r="163" spans="1:5" ht="14.25" customHeight="1" x14ac:dyDescent="0.25">
      <c r="A163" s="2">
        <v>40695</v>
      </c>
      <c r="B163" s="1">
        <v>0.79249999999999998</v>
      </c>
      <c r="D163" s="2">
        <v>38443</v>
      </c>
      <c r="E163" s="3">
        <v>0.67669999999999997</v>
      </c>
    </row>
    <row r="164" spans="1:5" ht="14.25" customHeight="1" x14ac:dyDescent="0.25">
      <c r="A164" s="2">
        <v>40725</v>
      </c>
      <c r="B164" s="1">
        <v>1.1377999999999999</v>
      </c>
      <c r="D164" s="2">
        <v>38473</v>
      </c>
      <c r="E164" s="3">
        <v>0.69030000000000002</v>
      </c>
    </row>
    <row r="165" spans="1:5" ht="14.25" customHeight="1" x14ac:dyDescent="0.25">
      <c r="A165" s="2">
        <v>40756</v>
      </c>
      <c r="B165" s="1">
        <v>1.4851000000000001</v>
      </c>
      <c r="D165" s="2">
        <v>38504</v>
      </c>
      <c r="E165" s="3">
        <v>0.97599999999999998</v>
      </c>
    </row>
    <row r="166" spans="1:5" ht="14.25" customHeight="1" x14ac:dyDescent="0.25">
      <c r="A166" s="2">
        <v>40787</v>
      </c>
      <c r="B166" s="1">
        <v>1.6559999999999999</v>
      </c>
      <c r="D166" s="2">
        <v>38534</v>
      </c>
      <c r="E166" s="5">
        <v>1.0707</v>
      </c>
    </row>
    <row r="167" spans="1:5" ht="14.25" customHeight="1" x14ac:dyDescent="0.25">
      <c r="A167" s="2">
        <v>40817</v>
      </c>
      <c r="B167" s="1">
        <v>0.89800000000000002</v>
      </c>
      <c r="D167" s="2">
        <v>38565</v>
      </c>
      <c r="E167" s="5">
        <v>1.5275000000000001</v>
      </c>
    </row>
    <row r="168" spans="1:5" ht="14.25" customHeight="1" x14ac:dyDescent="0.25">
      <c r="A168" s="2">
        <v>40848</v>
      </c>
      <c r="B168" s="1">
        <v>0.85770000000000002</v>
      </c>
      <c r="D168" s="2">
        <v>38596</v>
      </c>
      <c r="E168" s="5">
        <v>1.0331999999999999</v>
      </c>
    </row>
    <row r="169" spans="1:5" ht="14.25" customHeight="1" x14ac:dyDescent="0.25">
      <c r="A169" s="2">
        <v>40878</v>
      </c>
      <c r="B169" s="1">
        <v>0.74460000000000004</v>
      </c>
      <c r="D169" s="2">
        <v>38626</v>
      </c>
      <c r="E169" s="3">
        <v>0.76690000000000003</v>
      </c>
    </row>
    <row r="170" spans="1:5" ht="14.25" customHeight="1" x14ac:dyDescent="0.25">
      <c r="A170" s="2">
        <v>40909</v>
      </c>
      <c r="B170" s="1">
        <v>0.8175</v>
      </c>
      <c r="D170" s="2">
        <v>38657</v>
      </c>
      <c r="E170" s="3">
        <v>0.67110000000000003</v>
      </c>
    </row>
    <row r="171" spans="1:5" ht="14.25" customHeight="1" x14ac:dyDescent="0.25">
      <c r="A171" s="2">
        <v>40940</v>
      </c>
      <c r="B171" s="1">
        <v>0.65690000000000004</v>
      </c>
      <c r="D171" s="2">
        <v>38687</v>
      </c>
      <c r="E171" s="3">
        <v>0.68610000000000004</v>
      </c>
    </row>
    <row r="172" spans="1:5" ht="14.25" customHeight="1" x14ac:dyDescent="0.25">
      <c r="A172" s="2">
        <v>40969</v>
      </c>
      <c r="B172" s="1">
        <v>0.8871</v>
      </c>
      <c r="D172" s="2">
        <v>38718</v>
      </c>
      <c r="E172" s="3">
        <v>0.74380000000000002</v>
      </c>
    </row>
    <row r="173" spans="1:5" ht="14.25" customHeight="1" x14ac:dyDescent="0.25">
      <c r="A173" s="2">
        <v>41000</v>
      </c>
      <c r="B173" s="1">
        <v>0.74119999999999997</v>
      </c>
      <c r="D173" s="2">
        <v>38749</v>
      </c>
      <c r="E173" s="3">
        <v>0.90290000000000004</v>
      </c>
    </row>
    <row r="174" spans="1:5" ht="14.25" customHeight="1" x14ac:dyDescent="0.25">
      <c r="A174" s="2">
        <v>41030</v>
      </c>
      <c r="B174" s="1">
        <v>1.6022000000000001</v>
      </c>
      <c r="D174" s="2">
        <v>38777</v>
      </c>
      <c r="E174" s="3">
        <v>0.57979999999999998</v>
      </c>
    </row>
    <row r="175" spans="1:5" ht="14.25" customHeight="1" x14ac:dyDescent="0.25">
      <c r="A175" s="2">
        <v>41061</v>
      </c>
      <c r="B175" s="1">
        <v>1.2141999999999999</v>
      </c>
      <c r="D175" s="2">
        <v>38808</v>
      </c>
      <c r="E175" s="3">
        <v>0.64359999999999995</v>
      </c>
    </row>
    <row r="176" spans="1:5" ht="14.25" customHeight="1" x14ac:dyDescent="0.25">
      <c r="A176" s="2">
        <v>41091</v>
      </c>
      <c r="B176" s="1">
        <v>1.3472999999999999</v>
      </c>
      <c r="D176" s="2">
        <v>38838</v>
      </c>
      <c r="E176" s="3">
        <v>0.74980000000000002</v>
      </c>
    </row>
    <row r="177" spans="1:5" ht="14.25" customHeight="1" x14ac:dyDescent="0.25">
      <c r="A177" s="2">
        <v>41122</v>
      </c>
      <c r="B177" s="1">
        <v>1.3384</v>
      </c>
      <c r="D177" s="2">
        <v>38869</v>
      </c>
      <c r="E177" s="3">
        <v>0.8397</v>
      </c>
    </row>
    <row r="178" spans="1:5" ht="14.25" customHeight="1" x14ac:dyDescent="0.25">
      <c r="A178" s="2">
        <v>41153</v>
      </c>
      <c r="B178" s="1">
        <v>1.2533000000000001</v>
      </c>
      <c r="D178" s="2">
        <v>38899</v>
      </c>
      <c r="E178" s="5">
        <v>1.0643</v>
      </c>
    </row>
    <row r="179" spans="1:5" ht="14.25" customHeight="1" x14ac:dyDescent="0.25">
      <c r="A179" s="2">
        <v>41183</v>
      </c>
      <c r="B179" s="1">
        <v>1.6671</v>
      </c>
      <c r="D179" s="2">
        <v>38930</v>
      </c>
      <c r="E179" s="5">
        <v>1.2102999999999999</v>
      </c>
    </row>
    <row r="180" spans="1:5" ht="14.25" customHeight="1" x14ac:dyDescent="0.25">
      <c r="A180" s="2">
        <v>41214</v>
      </c>
      <c r="B180" s="1">
        <v>0.91869999999999996</v>
      </c>
      <c r="D180" s="2">
        <v>38961</v>
      </c>
      <c r="E180" s="3">
        <v>0.92279999999999995</v>
      </c>
    </row>
    <row r="181" spans="1:5" ht="14.25" customHeight="1" x14ac:dyDescent="0.25">
      <c r="A181" s="2">
        <v>41244</v>
      </c>
      <c r="B181" s="1">
        <v>1.0771999999999999</v>
      </c>
      <c r="D181" s="2">
        <v>38991</v>
      </c>
      <c r="E181" s="3">
        <v>0.85599999999999998</v>
      </c>
    </row>
    <row r="182" spans="1:5" ht="14.25" customHeight="1" x14ac:dyDescent="0.25">
      <c r="A182" s="2">
        <v>41275</v>
      </c>
      <c r="B182" s="1">
        <v>1.5353000000000001</v>
      </c>
      <c r="D182" s="2">
        <v>39022</v>
      </c>
      <c r="E182" s="3">
        <v>0.86260000000000003</v>
      </c>
    </row>
    <row r="183" spans="1:5" ht="14.25" customHeight="1" x14ac:dyDescent="0.25">
      <c r="A183" s="2">
        <v>41306</v>
      </c>
      <c r="B183" s="1">
        <v>1.0290999999999999</v>
      </c>
      <c r="D183" s="2">
        <v>39052</v>
      </c>
      <c r="E183" s="3">
        <v>0.76649999999999996</v>
      </c>
    </row>
    <row r="184" spans="1:5" ht="14.25" customHeight="1" x14ac:dyDescent="0.25">
      <c r="A184" s="2">
        <v>41334</v>
      </c>
      <c r="B184" s="1">
        <v>1.3509</v>
      </c>
      <c r="D184" s="2">
        <v>39083</v>
      </c>
      <c r="E184" s="3">
        <v>0.81710000000000005</v>
      </c>
    </row>
    <row r="185" spans="1:5" ht="14.25" customHeight="1" x14ac:dyDescent="0.25">
      <c r="A185" s="2">
        <v>41365</v>
      </c>
      <c r="B185" s="1">
        <v>0.8135</v>
      </c>
      <c r="D185" s="2">
        <v>39114</v>
      </c>
      <c r="E185" s="3">
        <v>0.73160000000000003</v>
      </c>
    </row>
    <row r="186" spans="1:5" ht="14.25" customHeight="1" x14ac:dyDescent="0.25">
      <c r="A186" s="2">
        <v>41395</v>
      </c>
      <c r="B186" s="1">
        <v>0.81579999999999997</v>
      </c>
      <c r="D186" s="2">
        <v>39142</v>
      </c>
      <c r="E186" s="3">
        <v>0.69140000000000001</v>
      </c>
    </row>
    <row r="187" spans="1:5" ht="14.25" customHeight="1" x14ac:dyDescent="0.25">
      <c r="A187" s="2">
        <v>41426</v>
      </c>
      <c r="B187" s="1">
        <v>1.3166</v>
      </c>
      <c r="D187" s="2">
        <v>39173</v>
      </c>
      <c r="E187" s="3">
        <v>0.5343</v>
      </c>
    </row>
    <row r="188" spans="1:5" ht="14.25" customHeight="1" x14ac:dyDescent="0.25">
      <c r="A188" s="2">
        <v>41456</v>
      </c>
      <c r="B188" s="1">
        <v>1.7019</v>
      </c>
      <c r="D188" s="2">
        <v>39203</v>
      </c>
      <c r="E188" s="3">
        <v>0.7228</v>
      </c>
    </row>
    <row r="189" spans="1:5" ht="14.25" customHeight="1" x14ac:dyDescent="0.25">
      <c r="A189" s="2">
        <v>41487</v>
      </c>
      <c r="B189" s="1">
        <v>1.071</v>
      </c>
      <c r="D189" s="2">
        <v>39234</v>
      </c>
      <c r="E189" s="3">
        <v>0.71550000000000002</v>
      </c>
    </row>
    <row r="190" spans="1:5" ht="14.25" customHeight="1" x14ac:dyDescent="0.25">
      <c r="A190" s="2">
        <v>41518</v>
      </c>
      <c r="B190" s="1">
        <v>0.93700000000000006</v>
      </c>
      <c r="D190" s="2">
        <v>39264</v>
      </c>
      <c r="E190" s="3">
        <v>1.1554</v>
      </c>
    </row>
    <row r="191" spans="1:5" ht="14.25" customHeight="1" x14ac:dyDescent="0.25">
      <c r="A191" s="2">
        <v>41548</v>
      </c>
      <c r="B191" s="1">
        <v>1.0558000000000001</v>
      </c>
      <c r="D191" s="2">
        <v>39295</v>
      </c>
      <c r="E191" s="5">
        <v>1.3715999999999999</v>
      </c>
    </row>
    <row r="192" spans="1:5" ht="14.25" customHeight="1" x14ac:dyDescent="0.25">
      <c r="A192" s="2">
        <v>41579</v>
      </c>
      <c r="B192" s="1">
        <v>1.4257</v>
      </c>
      <c r="D192" s="2">
        <v>39326</v>
      </c>
      <c r="E192" s="5">
        <v>1.1895</v>
      </c>
    </row>
    <row r="193" spans="1:5" ht="14.25" customHeight="1" x14ac:dyDescent="0.25">
      <c r="A193" s="2">
        <v>41609</v>
      </c>
      <c r="B193" s="1">
        <v>1.1259999999999999</v>
      </c>
      <c r="D193" s="2">
        <v>39356</v>
      </c>
      <c r="E193" s="5">
        <v>1.1589</v>
      </c>
    </row>
    <row r="194" spans="1:5" ht="14.25" customHeight="1" x14ac:dyDescent="0.25">
      <c r="A194" s="2">
        <v>41640</v>
      </c>
      <c r="B194" s="1">
        <v>0.91559999999999997</v>
      </c>
      <c r="D194" s="2">
        <v>39387</v>
      </c>
      <c r="E194" s="3">
        <v>0.69989999999999997</v>
      </c>
    </row>
    <row r="195" spans="1:5" ht="14.25" customHeight="1" x14ac:dyDescent="0.25">
      <c r="A195" s="2">
        <v>41671</v>
      </c>
      <c r="B195" s="1">
        <v>1.0598000000000001</v>
      </c>
      <c r="D195" s="2">
        <v>39417</v>
      </c>
      <c r="E195" s="3">
        <v>0.75239999999999996</v>
      </c>
    </row>
    <row r="196" spans="1:5" ht="14.25" customHeight="1" x14ac:dyDescent="0.25">
      <c r="A196" s="2">
        <v>41699</v>
      </c>
      <c r="B196" s="1">
        <v>0.95809999999999995</v>
      </c>
      <c r="D196" s="2">
        <v>39448</v>
      </c>
      <c r="E196" s="3">
        <v>0.72409999999999997</v>
      </c>
    </row>
    <row r="197" spans="1:5" ht="14.25" customHeight="1" x14ac:dyDescent="0.25">
      <c r="A197" s="2">
        <v>41730</v>
      </c>
      <c r="D197" s="2">
        <v>39479</v>
      </c>
      <c r="E197" s="3">
        <v>0.76429999999999998</v>
      </c>
    </row>
    <row r="198" spans="1:5" ht="14.25" customHeight="1" x14ac:dyDescent="0.25">
      <c r="A198" s="2">
        <v>41760</v>
      </c>
      <c r="B198" s="1">
        <v>1.1406000000000001</v>
      </c>
      <c r="D198" s="2">
        <v>39508</v>
      </c>
      <c r="E198" s="3">
        <v>0.62509999999999999</v>
      </c>
    </row>
    <row r="199" spans="1:5" ht="14.25" customHeight="1" x14ac:dyDescent="0.25">
      <c r="A199" s="2">
        <v>41791</v>
      </c>
      <c r="B199" s="1">
        <v>1.0174000000000001</v>
      </c>
      <c r="D199" s="2">
        <v>39539</v>
      </c>
      <c r="E199" s="3">
        <v>0.5292</v>
      </c>
    </row>
    <row r="200" spans="1:5" ht="14.25" customHeight="1" x14ac:dyDescent="0.25">
      <c r="A200" s="2">
        <v>41821</v>
      </c>
      <c r="B200" s="1">
        <v>1.4532</v>
      </c>
      <c r="D200" s="2">
        <v>39569</v>
      </c>
      <c r="E200" s="3">
        <v>0.60929999999999995</v>
      </c>
    </row>
    <row r="201" spans="1:5" ht="14.25" customHeight="1" x14ac:dyDescent="0.25">
      <c r="A201" s="2">
        <v>41852</v>
      </c>
      <c r="B201" s="1">
        <v>1.4591000000000001</v>
      </c>
      <c r="D201" s="2">
        <v>39600</v>
      </c>
      <c r="E201" s="3">
        <v>0.90469999999999995</v>
      </c>
    </row>
    <row r="202" spans="1:5" ht="14.25" customHeight="1" x14ac:dyDescent="0.25">
      <c r="A202" s="2">
        <v>41883</v>
      </c>
      <c r="B202" s="1">
        <v>1.399</v>
      </c>
      <c r="D202" s="2">
        <v>39630</v>
      </c>
      <c r="E202" s="5">
        <v>1.3757999999999999</v>
      </c>
    </row>
    <row r="203" spans="1:5" ht="14.25" customHeight="1" x14ac:dyDescent="0.25">
      <c r="A203" s="2">
        <v>41913</v>
      </c>
      <c r="B203" s="1">
        <v>2.3731</v>
      </c>
      <c r="D203" s="2">
        <v>39661</v>
      </c>
      <c r="E203" s="5">
        <v>1.6105</v>
      </c>
    </row>
    <row r="204" spans="1:5" ht="14.25" customHeight="1" x14ac:dyDescent="0.25">
      <c r="A204" s="2">
        <v>41944</v>
      </c>
      <c r="B204" s="1">
        <v>1.9490000000000001</v>
      </c>
      <c r="D204" s="2">
        <v>39692</v>
      </c>
      <c r="E204" s="5">
        <v>1.3383</v>
      </c>
    </row>
    <row r="205" spans="1:5" ht="14.25" customHeight="1" x14ac:dyDescent="0.25">
      <c r="A205" s="2">
        <v>41974</v>
      </c>
      <c r="B205" s="1">
        <v>2.1128999999999998</v>
      </c>
      <c r="D205" s="2">
        <v>39722</v>
      </c>
      <c r="E205" s="5">
        <v>1.623</v>
      </c>
    </row>
    <row r="206" spans="1:5" ht="14.25" customHeight="1" x14ac:dyDescent="0.25">
      <c r="A206" s="2">
        <v>42005</v>
      </c>
      <c r="B206" s="1">
        <v>1.3828</v>
      </c>
      <c r="D206" s="2">
        <v>39753</v>
      </c>
      <c r="E206" s="5">
        <v>0.72919999999999996</v>
      </c>
    </row>
    <row r="207" spans="1:5" ht="14.25" customHeight="1" x14ac:dyDescent="0.25">
      <c r="A207" s="2">
        <v>42036</v>
      </c>
      <c r="B207" s="1">
        <v>1.1959</v>
      </c>
      <c r="D207" s="2">
        <v>39783</v>
      </c>
      <c r="E207" s="5">
        <v>0.88759999999999994</v>
      </c>
    </row>
    <row r="208" spans="1:5" ht="14.25" customHeight="1" x14ac:dyDescent="0.25">
      <c r="A208" s="2">
        <v>42064</v>
      </c>
      <c r="B208" s="1">
        <v>1.0085999999999999</v>
      </c>
      <c r="D208" s="2">
        <v>39814</v>
      </c>
      <c r="E208" s="5">
        <v>1.169</v>
      </c>
    </row>
    <row r="209" spans="1:5" ht="14.25" customHeight="1" x14ac:dyDescent="0.25">
      <c r="A209" s="2">
        <v>42095</v>
      </c>
      <c r="B209" s="1">
        <v>0.70830000000000004</v>
      </c>
      <c r="D209" s="2">
        <v>39845</v>
      </c>
      <c r="E209" s="3">
        <v>0.77759999999999996</v>
      </c>
    </row>
    <row r="210" spans="1:5" ht="14.25" customHeight="1" x14ac:dyDescent="0.25">
      <c r="A210" s="2">
        <v>42125</v>
      </c>
      <c r="B210" s="1">
        <v>2.2757999999999998</v>
      </c>
      <c r="D210" s="2">
        <v>39873</v>
      </c>
      <c r="E210" s="3">
        <v>0.86770000000000003</v>
      </c>
    </row>
    <row r="211" spans="1:5" ht="14.25" customHeight="1" x14ac:dyDescent="0.25">
      <c r="A211" s="2">
        <v>42156</v>
      </c>
      <c r="B211" s="1">
        <v>2.23</v>
      </c>
      <c r="D211" s="2">
        <v>39904</v>
      </c>
      <c r="E211" s="5">
        <v>1.2446999999999999</v>
      </c>
    </row>
    <row r="212" spans="1:5" ht="14.25" customHeight="1" x14ac:dyDescent="0.25">
      <c r="A212" s="2">
        <v>42186</v>
      </c>
      <c r="B212" s="1">
        <v>2.7246999999999999</v>
      </c>
      <c r="D212" s="2">
        <v>39934</v>
      </c>
      <c r="E212" s="5">
        <v>1.0274000000000001</v>
      </c>
    </row>
    <row r="213" spans="1:5" ht="14.25" customHeight="1" x14ac:dyDescent="0.25">
      <c r="A213" s="2">
        <v>42217</v>
      </c>
      <c r="B213" s="1">
        <v>2.7772000000000001</v>
      </c>
      <c r="D213" s="2">
        <v>39965</v>
      </c>
      <c r="E213" s="5">
        <v>1.1621999999999999</v>
      </c>
    </row>
    <row r="214" spans="1:5" ht="14.25" customHeight="1" x14ac:dyDescent="0.25">
      <c r="A214" s="2">
        <v>42248</v>
      </c>
      <c r="B214" s="1">
        <v>3.1686000000000001</v>
      </c>
      <c r="D214" s="2">
        <v>39995</v>
      </c>
      <c r="E214" s="5">
        <v>1.0254000000000001</v>
      </c>
    </row>
    <row r="215" spans="1:5" ht="14.25" customHeight="1" x14ac:dyDescent="0.25">
      <c r="A215" s="2">
        <v>42278</v>
      </c>
      <c r="B215" s="1">
        <v>4.0917000000000003</v>
      </c>
      <c r="D215" s="2">
        <v>40026</v>
      </c>
      <c r="E215" s="5">
        <v>1.1752</v>
      </c>
    </row>
    <row r="216" spans="1:5" ht="14.25" customHeight="1" x14ac:dyDescent="0.25">
      <c r="A216" s="2">
        <v>42309</v>
      </c>
      <c r="B216" s="1">
        <v>3.5465</v>
      </c>
      <c r="D216" s="2">
        <v>40057</v>
      </c>
      <c r="E216" s="5">
        <v>1.0234000000000001</v>
      </c>
    </row>
    <row r="217" spans="1:5" ht="14.25" customHeight="1" x14ac:dyDescent="0.25">
      <c r="A217" s="2">
        <v>42339</v>
      </c>
      <c r="B217" s="1">
        <v>8.8018000000000001</v>
      </c>
      <c r="D217" s="2">
        <v>40087</v>
      </c>
      <c r="E217" s="5">
        <v>1.2804</v>
      </c>
    </row>
    <row r="218" spans="1:5" ht="14.25" customHeight="1" x14ac:dyDescent="0.25">
      <c r="A218" s="2">
        <v>42370</v>
      </c>
      <c r="B218" s="1">
        <v>4.6426999999999996</v>
      </c>
      <c r="D218" s="2">
        <v>40118</v>
      </c>
      <c r="E218" s="3">
        <v>0.9032</v>
      </c>
    </row>
    <row r="219" spans="1:5" ht="14.25" customHeight="1" x14ac:dyDescent="0.25">
      <c r="A219" s="2">
        <v>42401</v>
      </c>
      <c r="D219" s="2">
        <v>40148</v>
      </c>
      <c r="E219" s="3">
        <v>0.77739999999999998</v>
      </c>
    </row>
    <row r="220" spans="1:5" ht="14.25" customHeight="1" x14ac:dyDescent="0.25">
      <c r="A220" s="2">
        <v>42430</v>
      </c>
      <c r="B220" s="1">
        <v>9.7637</v>
      </c>
      <c r="D220" s="2">
        <v>40179</v>
      </c>
      <c r="E220" s="3">
        <v>0.85870000000000002</v>
      </c>
    </row>
    <row r="221" spans="1:5" ht="14.25" customHeight="1" x14ac:dyDescent="0.25">
      <c r="A221" s="2">
        <v>42461</v>
      </c>
      <c r="B221" s="1">
        <v>4.5759999999999996</v>
      </c>
      <c r="D221" s="2">
        <v>40210</v>
      </c>
      <c r="E221" s="5">
        <v>1.1426000000000001</v>
      </c>
    </row>
    <row r="222" spans="1:5" ht="14.25" customHeight="1" x14ac:dyDescent="0.25">
      <c r="A222" s="2">
        <v>42491</v>
      </c>
      <c r="B222" s="1">
        <v>4.2904</v>
      </c>
      <c r="D222" s="2">
        <v>40238</v>
      </c>
      <c r="E222" s="5">
        <v>1.405</v>
      </c>
    </row>
    <row r="223" spans="1:5" ht="14.25" customHeight="1" x14ac:dyDescent="0.25">
      <c r="A223" s="2">
        <v>42522</v>
      </c>
      <c r="D223" s="2">
        <v>40269</v>
      </c>
      <c r="E223" s="5">
        <v>1.4219999999999999</v>
      </c>
    </row>
    <row r="224" spans="1:5" ht="14.25" customHeight="1" x14ac:dyDescent="0.25">
      <c r="A224" s="2">
        <v>42552</v>
      </c>
      <c r="D224" s="2">
        <v>40299</v>
      </c>
      <c r="E224" s="3">
        <v>0.97519999999999996</v>
      </c>
    </row>
    <row r="225" spans="1:5" ht="14.25" customHeight="1" x14ac:dyDescent="0.25">
      <c r="A225" s="2">
        <v>42583</v>
      </c>
      <c r="B225" s="1">
        <v>3.5918000000000001</v>
      </c>
      <c r="D225" s="2">
        <v>40330</v>
      </c>
      <c r="E225" s="3">
        <v>0.95609999999999995</v>
      </c>
    </row>
    <row r="226" spans="1:5" ht="14.25" customHeight="1" x14ac:dyDescent="0.25">
      <c r="A226" s="2">
        <v>42614</v>
      </c>
      <c r="B226" s="1">
        <v>3.7429999999999999</v>
      </c>
      <c r="D226" s="2">
        <v>40360</v>
      </c>
      <c r="E226" s="3">
        <v>0.96819999999999995</v>
      </c>
    </row>
    <row r="227" spans="1:5" ht="14.25" customHeight="1" x14ac:dyDescent="0.25">
      <c r="A227" s="2">
        <v>42644</v>
      </c>
      <c r="B227" s="1">
        <v>16.1496</v>
      </c>
      <c r="D227" s="2">
        <v>40391</v>
      </c>
      <c r="E227" s="3">
        <v>1.1795</v>
      </c>
    </row>
    <row r="228" spans="1:5" ht="14.25" customHeight="1" x14ac:dyDescent="0.25">
      <c r="A228" s="2">
        <v>42675</v>
      </c>
      <c r="B228" s="1">
        <v>6.0111999999999997</v>
      </c>
      <c r="D228" s="2">
        <v>40422</v>
      </c>
      <c r="E228" s="3">
        <v>0.96460000000000001</v>
      </c>
    </row>
    <row r="229" spans="1:5" ht="14.25" customHeight="1" x14ac:dyDescent="0.25">
      <c r="A229" s="2">
        <v>42705</v>
      </c>
      <c r="B229" s="1">
        <v>5.1997</v>
      </c>
      <c r="D229" s="2">
        <v>40452</v>
      </c>
      <c r="E229" s="3">
        <v>0.77939999999999998</v>
      </c>
    </row>
    <row r="230" spans="1:5" ht="14.25" customHeight="1" x14ac:dyDescent="0.25">
      <c r="A230" s="2">
        <v>42736</v>
      </c>
      <c r="B230" s="1">
        <v>4.1765999999999996</v>
      </c>
      <c r="D230" s="2">
        <v>40483</v>
      </c>
      <c r="E230" s="3">
        <v>0.6694</v>
      </c>
    </row>
    <row r="231" spans="1:5" ht="14.25" customHeight="1" x14ac:dyDescent="0.25">
      <c r="A231" s="2">
        <v>42767</v>
      </c>
      <c r="B231" s="1">
        <v>6.6045999999999996</v>
      </c>
      <c r="D231" s="2">
        <v>40513</v>
      </c>
      <c r="E231" s="3">
        <v>0.70579999999999998</v>
      </c>
    </row>
    <row r="232" spans="1:5" ht="14.25" customHeight="1" x14ac:dyDescent="0.25">
      <c r="A232" s="2">
        <v>42795</v>
      </c>
      <c r="B232" s="1">
        <v>3.9047999999999998</v>
      </c>
      <c r="D232" s="2">
        <v>40544</v>
      </c>
      <c r="E232" s="3">
        <v>0.90700000000000003</v>
      </c>
    </row>
    <row r="233" spans="1:5" ht="14.25" customHeight="1" x14ac:dyDescent="0.25">
      <c r="A233" s="2">
        <v>42826</v>
      </c>
      <c r="B233" s="1">
        <v>2.6469999999999998</v>
      </c>
      <c r="D233" s="2">
        <v>40575</v>
      </c>
      <c r="E233" s="3">
        <v>1.2145999999999999</v>
      </c>
    </row>
    <row r="234" spans="1:5" ht="14.25" customHeight="1" x14ac:dyDescent="0.25">
      <c r="A234" s="2">
        <v>42859</v>
      </c>
      <c r="B234" s="1">
        <v>2.0299999999999999E-2</v>
      </c>
      <c r="D234" s="2">
        <v>40603</v>
      </c>
      <c r="E234" s="3">
        <v>1.9579</v>
      </c>
    </row>
    <row r="235" spans="1:5" ht="14.25" customHeight="1" x14ac:dyDescent="0.25">
      <c r="A235" s="2">
        <v>42908</v>
      </c>
      <c r="B235" s="1">
        <v>1.5465</v>
      </c>
      <c r="D235" s="2">
        <v>40634</v>
      </c>
      <c r="E235" s="3">
        <v>1.2521</v>
      </c>
    </row>
    <row r="236" spans="1:5" ht="14.25" customHeight="1" x14ac:dyDescent="0.25">
      <c r="A236" s="2">
        <v>42947</v>
      </c>
      <c r="B236" s="1">
        <v>4.99E-2</v>
      </c>
      <c r="D236" s="2">
        <v>40664</v>
      </c>
      <c r="E236" s="3">
        <v>0.65629999999999999</v>
      </c>
    </row>
    <row r="237" spans="1:5" ht="14.25" customHeight="1" x14ac:dyDescent="0.25">
      <c r="A237" s="2">
        <v>42954</v>
      </c>
      <c r="B237" s="1">
        <v>4.0076000000000001</v>
      </c>
      <c r="D237" s="2">
        <v>40695</v>
      </c>
      <c r="E237" s="3">
        <v>0.79249999999999998</v>
      </c>
    </row>
    <row r="238" spans="1:5" ht="14.25" customHeight="1" x14ac:dyDescent="0.25">
      <c r="A238" s="2">
        <v>42964</v>
      </c>
      <c r="B238" s="1">
        <v>5.4169999999999998</v>
      </c>
      <c r="D238" s="2">
        <v>40725</v>
      </c>
      <c r="E238" s="3">
        <v>1.1377999999999999</v>
      </c>
    </row>
    <row r="239" spans="1:5" ht="14.25" customHeight="1" x14ac:dyDescent="0.25">
      <c r="A239" s="2">
        <v>42986</v>
      </c>
      <c r="B239" s="1">
        <v>7.2736000000000001</v>
      </c>
      <c r="D239" s="2">
        <v>40756</v>
      </c>
      <c r="E239" s="3">
        <v>1.4851000000000001</v>
      </c>
    </row>
    <row r="240" spans="1:5" ht="14.25" customHeight="1" x14ac:dyDescent="0.25">
      <c r="A240" s="2">
        <v>43018</v>
      </c>
      <c r="B240" s="1">
        <v>5.2224000000000004</v>
      </c>
      <c r="D240" s="2">
        <v>40787</v>
      </c>
      <c r="E240" s="3">
        <v>1.6559999999999999</v>
      </c>
    </row>
    <row r="241" spans="1:5" ht="14.25" customHeight="1" x14ac:dyDescent="0.25">
      <c r="A241" s="2">
        <v>43047</v>
      </c>
      <c r="B241" s="1">
        <v>4.8262</v>
      </c>
      <c r="D241" s="2">
        <v>40817</v>
      </c>
      <c r="E241" s="3">
        <v>0.89800000000000002</v>
      </c>
    </row>
    <row r="242" spans="1:5" ht="14.25" customHeight="1" x14ac:dyDescent="0.25">
      <c r="A242" s="2">
        <v>43109</v>
      </c>
      <c r="B242" s="1">
        <v>4.9714</v>
      </c>
      <c r="D242" s="2">
        <v>40848</v>
      </c>
      <c r="E242" s="3">
        <v>0.85770000000000002</v>
      </c>
    </row>
    <row r="243" spans="1:5" ht="14.25" customHeight="1" x14ac:dyDescent="0.25">
      <c r="A243" s="2">
        <v>43145</v>
      </c>
      <c r="B243" s="1">
        <v>6.1622000000000003</v>
      </c>
      <c r="D243" s="2">
        <v>40878</v>
      </c>
      <c r="E243" s="3">
        <v>0.74460000000000004</v>
      </c>
    </row>
    <row r="244" spans="1:5" ht="14.25" customHeight="1" x14ac:dyDescent="0.25">
      <c r="A244" s="2">
        <v>43186</v>
      </c>
      <c r="B244" s="1">
        <v>3.4453999999999998</v>
      </c>
      <c r="D244" s="2">
        <v>40909</v>
      </c>
      <c r="E244" s="3">
        <v>0.8175</v>
      </c>
    </row>
    <row r="245" spans="1:5" ht="14.25" customHeight="1" x14ac:dyDescent="0.25">
      <c r="A245" s="2">
        <v>43228</v>
      </c>
      <c r="B245" s="1">
        <v>1.2302999999999999</v>
      </c>
      <c r="D245" s="2">
        <v>40940</v>
      </c>
      <c r="E245" s="3">
        <v>0.65690000000000004</v>
      </c>
    </row>
    <row r="246" spans="1:5" ht="14.25" customHeight="1" x14ac:dyDescent="0.25">
      <c r="A246" s="2">
        <v>43263</v>
      </c>
      <c r="B246" s="1">
        <v>0.60650000000000004</v>
      </c>
      <c r="D246" s="2">
        <v>40969</v>
      </c>
      <c r="E246" s="3">
        <v>0.8871</v>
      </c>
    </row>
    <row r="247" spans="1:5" ht="14.25" customHeight="1" x14ac:dyDescent="0.25">
      <c r="A247" s="2">
        <v>43299</v>
      </c>
      <c r="B247" s="1">
        <v>2.2877000000000001</v>
      </c>
      <c r="D247" s="2">
        <v>41000</v>
      </c>
      <c r="E247" s="3">
        <v>0.74119999999999997</v>
      </c>
    </row>
    <row r="248" spans="1:5" ht="14.25" customHeight="1" x14ac:dyDescent="0.25">
      <c r="A248" s="2">
        <v>43342</v>
      </c>
      <c r="B248" s="1">
        <v>1.7405999999999999</v>
      </c>
      <c r="D248" s="2">
        <v>41030</v>
      </c>
      <c r="E248" s="5">
        <v>1.6022000000000001</v>
      </c>
    </row>
    <row r="249" spans="1:5" ht="14.25" customHeight="1" x14ac:dyDescent="0.25">
      <c r="A249" s="2">
        <v>43377</v>
      </c>
      <c r="B249" s="1">
        <v>1.2202999999999999</v>
      </c>
      <c r="D249" s="2">
        <v>41061</v>
      </c>
      <c r="E249" s="5">
        <v>1.2141999999999999</v>
      </c>
    </row>
    <row r="250" spans="1:5" ht="14.25" customHeight="1" x14ac:dyDescent="0.25">
      <c r="A250" s="2">
        <v>43416</v>
      </c>
      <c r="B250" s="1">
        <v>1.3521000000000001</v>
      </c>
      <c r="D250" s="2">
        <v>41091</v>
      </c>
      <c r="E250" s="5">
        <v>1.3472999999999999</v>
      </c>
    </row>
    <row r="251" spans="1:5" ht="14.25" customHeight="1" x14ac:dyDescent="0.25">
      <c r="A251" s="2">
        <v>43452</v>
      </c>
      <c r="B251" s="1">
        <v>0.97940000000000005</v>
      </c>
      <c r="D251" s="2">
        <v>41122</v>
      </c>
      <c r="E251" s="5">
        <v>1.3384</v>
      </c>
    </row>
    <row r="252" spans="1:5" ht="14.25" customHeight="1" x14ac:dyDescent="0.25">
      <c r="A252" s="2">
        <v>43494</v>
      </c>
      <c r="B252" s="1">
        <v>0.42349999999999999</v>
      </c>
      <c r="D252" s="2">
        <v>41153</v>
      </c>
      <c r="E252" s="5">
        <v>1.2533000000000001</v>
      </c>
    </row>
    <row r="253" spans="1:5" ht="14.25" customHeight="1" x14ac:dyDescent="0.25">
      <c r="A253" s="2">
        <v>43522</v>
      </c>
      <c r="B253" s="1">
        <v>0.68520000000000003</v>
      </c>
      <c r="D253" s="2">
        <v>41183</v>
      </c>
      <c r="E253" s="5">
        <v>1.6671</v>
      </c>
    </row>
    <row r="254" spans="1:5" ht="14.25" customHeight="1" x14ac:dyDescent="0.25">
      <c r="A254" s="2">
        <v>43558</v>
      </c>
      <c r="B254" s="1">
        <v>0.97350000000000003</v>
      </c>
      <c r="D254" s="2">
        <v>41214</v>
      </c>
      <c r="E254" s="5">
        <v>0.91869999999999996</v>
      </c>
    </row>
    <row r="255" spans="1:5" ht="14.25" customHeight="1" x14ac:dyDescent="0.25">
      <c r="A255" s="2">
        <v>43599</v>
      </c>
      <c r="B255" s="1">
        <v>1.1857</v>
      </c>
      <c r="D255" s="2">
        <v>41244</v>
      </c>
      <c r="E255" s="5">
        <v>1.0771999999999999</v>
      </c>
    </row>
    <row r="256" spans="1:5" ht="14.25" customHeight="1" x14ac:dyDescent="0.25">
      <c r="A256" s="2">
        <v>43634</v>
      </c>
      <c r="B256" s="1">
        <v>1.9093</v>
      </c>
      <c r="D256" s="2">
        <v>41275</v>
      </c>
      <c r="E256" s="5">
        <v>1.5353000000000001</v>
      </c>
    </row>
    <row r="257" spans="1:5" ht="14.25" customHeight="1" x14ac:dyDescent="0.25">
      <c r="A257" s="2">
        <v>43672</v>
      </c>
      <c r="B257" s="1">
        <v>1.3138000000000001</v>
      </c>
      <c r="D257" s="2">
        <v>41306</v>
      </c>
      <c r="E257" s="5">
        <v>1.0290999999999999</v>
      </c>
    </row>
    <row r="258" spans="1:5" ht="14.25" customHeight="1" x14ac:dyDescent="0.25">
      <c r="A258" s="2">
        <v>43713</v>
      </c>
      <c r="B258" s="1">
        <v>3.7544</v>
      </c>
      <c r="D258" s="2">
        <v>41334</v>
      </c>
      <c r="E258" s="5">
        <v>1.3509</v>
      </c>
    </row>
    <row r="259" spans="1:5" ht="14.25" customHeight="1" x14ac:dyDescent="0.25">
      <c r="A259" s="2">
        <v>43726</v>
      </c>
      <c r="B259" s="1">
        <v>24.235199999999999</v>
      </c>
      <c r="D259" s="2">
        <v>41365</v>
      </c>
      <c r="E259" s="3">
        <v>0.8135</v>
      </c>
    </row>
    <row r="260" spans="1:5" ht="14.25" customHeight="1" x14ac:dyDescent="0.25">
      <c r="A260" s="2">
        <v>43740</v>
      </c>
      <c r="B260" s="1">
        <v>6.8384999999999998</v>
      </c>
      <c r="D260" s="2">
        <v>41395</v>
      </c>
      <c r="E260" s="3">
        <v>0.81579999999999997</v>
      </c>
    </row>
    <row r="261" spans="1:5" ht="14.25" customHeight="1" x14ac:dyDescent="0.25">
      <c r="A261" s="2">
        <v>43754</v>
      </c>
      <c r="B261" s="1">
        <v>16.317599999999999</v>
      </c>
      <c r="D261" s="2">
        <v>41426</v>
      </c>
      <c r="E261" s="5">
        <v>1.3166</v>
      </c>
    </row>
    <row r="262" spans="1:5" ht="14.25" customHeight="1" x14ac:dyDescent="0.25">
      <c r="A262" s="2">
        <v>43767</v>
      </c>
      <c r="B262" s="1">
        <v>38.520400000000002</v>
      </c>
      <c r="D262" s="2">
        <v>41456</v>
      </c>
      <c r="E262" s="5">
        <v>1.7019</v>
      </c>
    </row>
    <row r="263" spans="1:5" ht="14.25" customHeight="1" x14ac:dyDescent="0.25">
      <c r="A263" s="2">
        <v>43773</v>
      </c>
      <c r="B263" s="1">
        <v>32.610999999999997</v>
      </c>
      <c r="D263" s="2">
        <v>41487</v>
      </c>
      <c r="E263" s="5">
        <v>1.071</v>
      </c>
    </row>
    <row r="264" spans="1:5" ht="14.25" customHeight="1" x14ac:dyDescent="0.25">
      <c r="A264" s="2">
        <v>43801</v>
      </c>
      <c r="B264" s="1">
        <v>7.5265000000000004</v>
      </c>
      <c r="D264" s="2">
        <v>41518</v>
      </c>
      <c r="E264" s="3">
        <v>0.93700000000000006</v>
      </c>
    </row>
    <row r="265" spans="1:5" ht="14.25" customHeight="1" x14ac:dyDescent="0.25">
      <c r="A265" s="2">
        <v>43809</v>
      </c>
      <c r="B265" s="1">
        <v>18.168800000000001</v>
      </c>
      <c r="D265" s="2">
        <v>41548</v>
      </c>
      <c r="E265" s="5">
        <v>1.0558000000000001</v>
      </c>
    </row>
    <row r="266" spans="1:5" ht="14.25" customHeight="1" x14ac:dyDescent="0.25">
      <c r="A266" s="2">
        <v>43839</v>
      </c>
      <c r="B266" s="1">
        <v>1.8567</v>
      </c>
      <c r="D266" s="2">
        <v>41579</v>
      </c>
      <c r="E266" s="5">
        <v>1.4257</v>
      </c>
    </row>
    <row r="267" spans="1:5" ht="14.25" customHeight="1" x14ac:dyDescent="0.25">
      <c r="A267" s="2">
        <v>43865</v>
      </c>
      <c r="B267" s="1">
        <v>1.6234</v>
      </c>
      <c r="D267" s="2">
        <v>41609</v>
      </c>
      <c r="E267" s="5">
        <v>1.1259999999999999</v>
      </c>
    </row>
    <row r="268" spans="1:5" ht="14.25" customHeight="1" x14ac:dyDescent="0.25">
      <c r="A268" s="2">
        <v>43942</v>
      </c>
      <c r="B268" s="1">
        <v>3.0617999999999999</v>
      </c>
      <c r="D268" s="2">
        <v>41640</v>
      </c>
      <c r="E268" s="3">
        <v>0.91559999999999997</v>
      </c>
    </row>
    <row r="269" spans="1:5" ht="14.25" customHeight="1" x14ac:dyDescent="0.25">
      <c r="A269" s="2">
        <v>43955</v>
      </c>
      <c r="B269" s="1">
        <v>2.6305000000000001</v>
      </c>
      <c r="D269" s="2">
        <v>41671</v>
      </c>
      <c r="E269" s="5">
        <v>1.0598000000000001</v>
      </c>
    </row>
    <row r="270" spans="1:5" ht="14.25" customHeight="1" x14ac:dyDescent="0.25">
      <c r="A270" s="2">
        <v>43993</v>
      </c>
      <c r="B270" s="1">
        <v>1.9882</v>
      </c>
      <c r="D270" s="2">
        <v>41699</v>
      </c>
      <c r="E270" s="3">
        <v>0.95809999999999995</v>
      </c>
    </row>
    <row r="271" spans="1:5" ht="14.25" customHeight="1" x14ac:dyDescent="0.25">
      <c r="A271" s="2">
        <v>44033</v>
      </c>
      <c r="B271" s="1">
        <v>0.77910000000000001</v>
      </c>
      <c r="D271" s="2">
        <v>41730</v>
      </c>
      <c r="E271" s="3"/>
    </row>
    <row r="272" spans="1:5" ht="14.25" customHeight="1" x14ac:dyDescent="0.25">
      <c r="A272" s="2">
        <v>44070</v>
      </c>
      <c r="B272" s="1">
        <v>1.4277</v>
      </c>
      <c r="D272" s="2">
        <v>41760</v>
      </c>
      <c r="E272" s="3">
        <v>1.1406000000000001</v>
      </c>
    </row>
    <row r="273" spans="1:26" ht="14.25" customHeight="1" x14ac:dyDescent="0.25">
      <c r="A273" s="2">
        <v>44090</v>
      </c>
      <c r="B273" s="1">
        <v>1.8474999999999999</v>
      </c>
      <c r="D273" s="2">
        <v>41791</v>
      </c>
      <c r="E273" s="3">
        <v>1.0174000000000001</v>
      </c>
    </row>
    <row r="274" spans="1:26" ht="14.25" customHeight="1" x14ac:dyDescent="0.25">
      <c r="A274" s="2">
        <v>44117</v>
      </c>
      <c r="B274" s="1">
        <v>1.2359</v>
      </c>
      <c r="D274" s="2">
        <v>41821</v>
      </c>
      <c r="E274" s="3">
        <v>1.4532</v>
      </c>
    </row>
    <row r="275" spans="1:26" ht="14.25" customHeight="1" x14ac:dyDescent="0.25">
      <c r="A275" s="2">
        <v>44151</v>
      </c>
      <c r="B275" s="1">
        <v>1.8351</v>
      </c>
      <c r="D275" s="2">
        <v>41852</v>
      </c>
      <c r="E275" s="3">
        <v>1.4591000000000001</v>
      </c>
    </row>
    <row r="276" spans="1:26" ht="14.25" customHeight="1" x14ac:dyDescent="0.25">
      <c r="A276" s="2">
        <v>44180</v>
      </c>
      <c r="B276" s="1">
        <v>2.6739999999999999</v>
      </c>
      <c r="D276" s="2">
        <v>41883</v>
      </c>
      <c r="E276" s="3">
        <v>1.399</v>
      </c>
    </row>
    <row r="277" spans="1:26" ht="14.25" customHeight="1" x14ac:dyDescent="0.25">
      <c r="A277" s="2">
        <v>44210</v>
      </c>
      <c r="B277" s="1">
        <v>0.99970000000000003</v>
      </c>
      <c r="D277" s="10">
        <v>41913</v>
      </c>
      <c r="E277" s="11">
        <v>2.3731</v>
      </c>
      <c r="F277" s="69"/>
    </row>
    <row r="278" spans="1:26" ht="14.25" customHeight="1" x14ac:dyDescent="0.25">
      <c r="A278" s="2">
        <v>44244</v>
      </c>
      <c r="B278" s="1">
        <v>0.95009999999999994</v>
      </c>
      <c r="D278" s="2">
        <v>41944</v>
      </c>
      <c r="E278" s="3">
        <v>1.9490000000000001</v>
      </c>
    </row>
    <row r="279" spans="1:26" ht="14.25" customHeight="1" x14ac:dyDescent="0.25">
      <c r="A279" s="2">
        <v>44278</v>
      </c>
      <c r="B279" s="1">
        <v>0.87419999999999998</v>
      </c>
      <c r="D279" s="2">
        <v>41974</v>
      </c>
      <c r="E279" s="5">
        <v>2.1128999999999998</v>
      </c>
    </row>
    <row r="280" spans="1:26" ht="14.25" customHeight="1" x14ac:dyDescent="0.25">
      <c r="A280" s="2">
        <v>44306</v>
      </c>
      <c r="B280" s="1">
        <v>1.49</v>
      </c>
      <c r="D280" s="2">
        <v>42005</v>
      </c>
      <c r="E280" s="3">
        <v>1.3828</v>
      </c>
    </row>
    <row r="281" spans="1:26" ht="14.25" customHeight="1" x14ac:dyDescent="0.25">
      <c r="A281" s="2">
        <v>44336</v>
      </c>
      <c r="B281" s="1">
        <v>0.52959999999999996</v>
      </c>
      <c r="D281" s="2">
        <v>42036</v>
      </c>
      <c r="E281" s="3">
        <v>1.1959</v>
      </c>
    </row>
    <row r="282" spans="1:26" ht="14.25" customHeight="1" x14ac:dyDescent="0.25">
      <c r="A282" s="2">
        <v>44362</v>
      </c>
      <c r="B282" s="1">
        <v>1.4159999999999999</v>
      </c>
      <c r="D282" s="2">
        <v>42064</v>
      </c>
      <c r="E282" s="3">
        <v>1.0085999999999999</v>
      </c>
    </row>
    <row r="283" spans="1:26" ht="14.25" customHeight="1" x14ac:dyDescent="0.25">
      <c r="A283" s="13">
        <v>44397</v>
      </c>
      <c r="B283" s="14">
        <v>2.3940999999999999</v>
      </c>
      <c r="C283" s="14"/>
      <c r="D283" s="13">
        <v>42095</v>
      </c>
      <c r="E283" s="15">
        <v>0.70830000000000004</v>
      </c>
      <c r="F283" s="73"/>
      <c r="G283" s="73"/>
      <c r="H283" s="14"/>
      <c r="I283" s="14"/>
      <c r="J283" s="16" t="s">
        <v>8</v>
      </c>
      <c r="K283" s="14"/>
      <c r="L283" s="14"/>
      <c r="M283" s="14"/>
      <c r="N283" s="14"/>
      <c r="O283" s="14"/>
      <c r="P283" s="14"/>
      <c r="Q283" s="14"/>
      <c r="R283" s="14"/>
      <c r="S283" s="14"/>
      <c r="T283" s="14"/>
      <c r="U283" s="14"/>
      <c r="V283" s="14"/>
      <c r="W283" s="14"/>
      <c r="X283" s="14"/>
      <c r="Y283" s="14"/>
      <c r="Z283" s="14"/>
    </row>
    <row r="284" spans="1:26" ht="14.25" customHeight="1" x14ac:dyDescent="0.25">
      <c r="A284" s="2">
        <v>44427</v>
      </c>
      <c r="B284" s="1">
        <v>9.3816000000000006</v>
      </c>
      <c r="D284" s="2">
        <v>42125</v>
      </c>
      <c r="E284" s="5">
        <v>2.2757999999999998</v>
      </c>
      <c r="F284" s="69"/>
    </row>
    <row r="285" spans="1:26" ht="14.25" customHeight="1" x14ac:dyDescent="0.25">
      <c r="A285" s="2">
        <v>44434</v>
      </c>
      <c r="B285" s="1">
        <v>16.161100000000001</v>
      </c>
      <c r="D285" s="2">
        <v>42156</v>
      </c>
      <c r="E285" s="5">
        <v>2.23</v>
      </c>
      <c r="F285" s="69"/>
    </row>
    <row r="286" spans="1:26" ht="14.25" customHeight="1" x14ac:dyDescent="0.25">
      <c r="A286" s="2">
        <v>44468</v>
      </c>
      <c r="B286" s="1">
        <v>5.7743000000000002</v>
      </c>
      <c r="D286" s="2">
        <v>42186</v>
      </c>
      <c r="E286" s="5">
        <v>2.7246999999999999</v>
      </c>
    </row>
    <row r="287" spans="1:26" ht="14.25" customHeight="1" x14ac:dyDescent="0.25">
      <c r="A287" s="2">
        <v>44494</v>
      </c>
      <c r="B287" s="1">
        <v>4.4825999999999997</v>
      </c>
      <c r="D287" s="2">
        <v>42217</v>
      </c>
      <c r="E287" s="5">
        <v>2.7772000000000001</v>
      </c>
    </row>
    <row r="288" spans="1:26" ht="14.25" customHeight="1" x14ac:dyDescent="0.25">
      <c r="A288" s="2">
        <v>44525</v>
      </c>
      <c r="B288" s="1">
        <v>3.6842999999999999</v>
      </c>
      <c r="C288" s="18" t="s">
        <v>9</v>
      </c>
      <c r="D288" s="19">
        <v>42248</v>
      </c>
      <c r="E288" s="20">
        <v>3.1686000000000001</v>
      </c>
    </row>
    <row r="289" spans="1:15" ht="14.25" customHeight="1" x14ac:dyDescent="0.25">
      <c r="A289" s="2">
        <v>44550</v>
      </c>
      <c r="B289" s="1">
        <v>1.9334</v>
      </c>
      <c r="D289" s="2">
        <v>42278</v>
      </c>
      <c r="E289" s="22">
        <v>4.0917000000000003</v>
      </c>
    </row>
    <row r="290" spans="1:15" ht="14.25" customHeight="1" x14ac:dyDescent="0.25">
      <c r="A290" s="2">
        <v>44592</v>
      </c>
      <c r="B290" s="1">
        <v>1.2997000000000001</v>
      </c>
      <c r="D290" s="2">
        <v>42309</v>
      </c>
      <c r="E290" s="22">
        <v>3.5465</v>
      </c>
    </row>
    <row r="291" spans="1:15" ht="14.25" customHeight="1" x14ac:dyDescent="0.25">
      <c r="A291" s="2">
        <v>44614</v>
      </c>
      <c r="B291" s="1">
        <v>1.6407</v>
      </c>
      <c r="D291" s="23">
        <v>42339</v>
      </c>
      <c r="E291" s="24">
        <v>8.8018000000000001</v>
      </c>
      <c r="F291" s="74"/>
      <c r="G291" s="73"/>
      <c r="H291" s="25"/>
      <c r="I291" s="25" t="s">
        <v>11</v>
      </c>
      <c r="J291" s="25" t="s">
        <v>12</v>
      </c>
      <c r="K291" s="25"/>
      <c r="L291" s="25"/>
      <c r="M291" s="25"/>
      <c r="N291" s="25"/>
      <c r="O291" s="25"/>
    </row>
    <row r="292" spans="1:15" ht="14.25" customHeight="1" x14ac:dyDescent="0.25">
      <c r="A292" s="2">
        <v>44651</v>
      </c>
      <c r="B292" s="1">
        <v>1.8565</v>
      </c>
      <c r="D292" s="23">
        <v>42370</v>
      </c>
      <c r="E292" s="26">
        <v>4.6426999999999996</v>
      </c>
      <c r="F292" s="75"/>
      <c r="G292" s="75"/>
      <c r="H292" s="27"/>
      <c r="I292" s="28"/>
      <c r="M292" s="1" t="s">
        <v>13</v>
      </c>
    </row>
    <row r="293" spans="1:15" ht="14.25" customHeight="1" x14ac:dyDescent="0.25">
      <c r="A293" s="2">
        <v>44658</v>
      </c>
      <c r="B293" s="1">
        <v>3.6135000000000002</v>
      </c>
      <c r="D293" s="29">
        <v>42401</v>
      </c>
      <c r="E293" s="3"/>
      <c r="F293" s="67"/>
      <c r="G293" s="67"/>
      <c r="H293" s="30"/>
      <c r="I293" s="31" t="s">
        <v>14</v>
      </c>
      <c r="J293" s="32"/>
    </row>
    <row r="294" spans="1:15" ht="14.25" customHeight="1" x14ac:dyDescent="0.25">
      <c r="A294" s="2">
        <v>44678</v>
      </c>
      <c r="B294" s="1">
        <v>1.8005</v>
      </c>
      <c r="D294" s="29">
        <v>42430</v>
      </c>
      <c r="E294" s="33">
        <v>9.7637</v>
      </c>
      <c r="F294" s="67"/>
      <c r="G294" s="67"/>
      <c r="H294" s="28"/>
      <c r="I294" s="34" t="s">
        <v>15</v>
      </c>
      <c r="J294" s="35" t="s">
        <v>16</v>
      </c>
      <c r="K294" s="32"/>
    </row>
    <row r="295" spans="1:15" ht="14.25" customHeight="1" x14ac:dyDescent="0.25">
      <c r="A295" s="2">
        <v>44693</v>
      </c>
      <c r="B295" s="1">
        <v>1.7928999999999999</v>
      </c>
      <c r="D295" s="29">
        <v>42461</v>
      </c>
      <c r="E295" s="22">
        <v>4.5759999999999996</v>
      </c>
      <c r="F295" s="67"/>
      <c r="G295" s="67"/>
      <c r="H295" s="28"/>
      <c r="I295" s="36">
        <f>AVERAGE(E292:E296,G296:G297)</f>
        <v>7.720983333333332</v>
      </c>
      <c r="J295" s="37">
        <f>AVERAGE(G300,E301,G302,E303,G304,E305)</f>
        <v>9.4088833333333319</v>
      </c>
      <c r="K295" s="12">
        <f>AVERAGE(G297,G299,G300,E301,G302,E303,G304,E305)</f>
        <v>9.0834500000000009</v>
      </c>
      <c r="L295" s="1">
        <f>MIN(H297,H300,F301,H302,F303,H304,F305)</f>
        <v>0</v>
      </c>
    </row>
    <row r="296" spans="1:15" ht="14.25" customHeight="1" x14ac:dyDescent="0.25">
      <c r="A296" s="2">
        <v>44698</v>
      </c>
      <c r="B296" s="1">
        <v>3.2406999999999999</v>
      </c>
      <c r="D296" s="29">
        <v>42491</v>
      </c>
      <c r="E296" s="22">
        <v>4.2904</v>
      </c>
      <c r="F296" s="68">
        <v>42505</v>
      </c>
      <c r="G296" s="69">
        <v>12.217599999999999</v>
      </c>
      <c r="H296" s="30"/>
      <c r="I296" s="28"/>
    </row>
    <row r="297" spans="1:15" ht="14.25" customHeight="1" x14ac:dyDescent="0.25">
      <c r="A297" s="2">
        <v>44739</v>
      </c>
      <c r="B297" s="1">
        <v>0.8518</v>
      </c>
      <c r="D297" s="29">
        <v>42522</v>
      </c>
      <c r="E297" s="3"/>
      <c r="F297" s="68">
        <v>42541</v>
      </c>
      <c r="G297" s="69">
        <v>10.8355</v>
      </c>
      <c r="H297" s="30"/>
      <c r="I297" s="38" t="s">
        <v>17</v>
      </c>
      <c r="J297" s="39"/>
    </row>
    <row r="298" spans="1:15" ht="14.25" customHeight="1" x14ac:dyDescent="0.25">
      <c r="A298" s="2">
        <v>44763</v>
      </c>
      <c r="B298" s="1">
        <v>0.88749999999999996</v>
      </c>
      <c r="D298" s="29">
        <v>42552</v>
      </c>
      <c r="E298" s="3"/>
      <c r="F298" s="67"/>
      <c r="G298" s="67"/>
      <c r="H298" s="30"/>
      <c r="I298" s="39" t="s">
        <v>18</v>
      </c>
      <c r="J298" s="39"/>
    </row>
    <row r="299" spans="1:15" ht="14.25" customHeight="1" x14ac:dyDescent="0.25">
      <c r="A299" s="2">
        <v>44797</v>
      </c>
      <c r="B299" s="1">
        <v>0.74829999999999997</v>
      </c>
      <c r="D299" s="29">
        <v>42583</v>
      </c>
      <c r="E299" s="22">
        <v>3.5918000000000001</v>
      </c>
      <c r="F299" s="68">
        <v>42585</v>
      </c>
      <c r="G299" s="69">
        <v>5.3788</v>
      </c>
      <c r="H299" s="30"/>
      <c r="I299" s="39" t="s">
        <v>19</v>
      </c>
      <c r="J299" s="39"/>
    </row>
    <row r="300" spans="1:15" ht="14.25" customHeight="1" x14ac:dyDescent="0.25">
      <c r="A300" s="2">
        <v>44833</v>
      </c>
      <c r="B300" s="1">
        <v>2.1840999999999999</v>
      </c>
      <c r="D300" s="29">
        <v>42614</v>
      </c>
      <c r="E300" s="22">
        <v>3.7429999999999999</v>
      </c>
      <c r="F300" s="68">
        <v>42632</v>
      </c>
      <c r="G300" s="69">
        <v>5.5372000000000003</v>
      </c>
      <c r="H300" s="30"/>
      <c r="I300" s="28"/>
    </row>
    <row r="301" spans="1:15" ht="14.25" customHeight="1" x14ac:dyDescent="0.25">
      <c r="A301" s="2">
        <v>44860</v>
      </c>
      <c r="B301" s="1">
        <v>2.7343000000000002</v>
      </c>
      <c r="C301" s="21" t="s">
        <v>10</v>
      </c>
      <c r="D301" s="29">
        <v>42644</v>
      </c>
      <c r="E301" s="33">
        <v>16.1496</v>
      </c>
      <c r="F301" s="67"/>
      <c r="G301" s="67"/>
      <c r="H301" s="30"/>
      <c r="I301" s="40" t="s">
        <v>20</v>
      </c>
    </row>
    <row r="302" spans="1:15" ht="14.25" customHeight="1" x14ac:dyDescent="0.25">
      <c r="A302" s="2">
        <v>44874</v>
      </c>
      <c r="B302" s="1">
        <v>1.6289</v>
      </c>
      <c r="D302" s="29">
        <v>42675</v>
      </c>
      <c r="E302" s="33">
        <v>6.0111999999999997</v>
      </c>
      <c r="F302" s="68">
        <v>42677</v>
      </c>
      <c r="G302" s="70">
        <v>12.332800000000001</v>
      </c>
      <c r="H302" s="30"/>
      <c r="I302" s="40" t="s">
        <v>21</v>
      </c>
    </row>
    <row r="303" spans="1:15" ht="14.25" customHeight="1" x14ac:dyDescent="0.25">
      <c r="A303" s="2">
        <v>44889</v>
      </c>
      <c r="B303" s="1">
        <v>1.292</v>
      </c>
      <c r="D303" s="29">
        <v>42705</v>
      </c>
      <c r="E303" s="33">
        <v>5.1997</v>
      </c>
      <c r="F303" s="67"/>
      <c r="G303" s="67"/>
      <c r="H303" s="30"/>
      <c r="I303" s="28"/>
      <c r="K303" s="3">
        <f>AVERAGE(E292:E295,G296:G297,G299:G300,G302,E303,G304,E305,G310:G314,E315,G316:G318)</f>
        <v>6.6945500000000022</v>
      </c>
      <c r="L303" s="3">
        <f>_xlfn.STDEV.S(E292:E295,G296:G297,G299:G300,G302,E303,G304,E305,G310:G314,E315,G316:G318)</f>
        <v>2.8137184180929951</v>
      </c>
      <c r="N303" s="1" t="s">
        <v>22</v>
      </c>
    </row>
    <row r="304" spans="1:15" ht="14.25" customHeight="1" x14ac:dyDescent="0.25">
      <c r="A304" s="2">
        <v>44895</v>
      </c>
      <c r="B304" s="1">
        <v>0.98470000000000002</v>
      </c>
      <c r="D304" s="29">
        <v>42736</v>
      </c>
      <c r="E304" s="22">
        <v>4.1765999999999996</v>
      </c>
      <c r="F304" s="68">
        <v>42760</v>
      </c>
      <c r="G304" s="69">
        <v>10.6294</v>
      </c>
      <c r="H304" s="30"/>
      <c r="I304" s="28"/>
    </row>
    <row r="305" spans="1:13" ht="14.25" customHeight="1" x14ac:dyDescent="0.25">
      <c r="A305" s="2">
        <v>44915</v>
      </c>
      <c r="B305" s="1">
        <v>0.93920000000000003</v>
      </c>
      <c r="D305" s="29">
        <v>42767</v>
      </c>
      <c r="E305" s="33">
        <v>6.6045999999999996</v>
      </c>
      <c r="F305" s="67"/>
      <c r="G305" s="67"/>
      <c r="H305" s="30"/>
      <c r="I305" s="28"/>
      <c r="K305" s="1" t="s">
        <v>23</v>
      </c>
    </row>
    <row r="306" spans="1:13" ht="14.25" customHeight="1" x14ac:dyDescent="0.25">
      <c r="A306" s="2">
        <v>44951</v>
      </c>
      <c r="B306" s="1">
        <v>1.0529999999999999</v>
      </c>
      <c r="D306" s="23">
        <v>42795</v>
      </c>
      <c r="E306" s="26">
        <v>3.9047999999999998</v>
      </c>
      <c r="F306" s="76">
        <v>42801</v>
      </c>
      <c r="G306" s="77">
        <v>1.8583000000000001</v>
      </c>
      <c r="H306" s="30" t="s">
        <v>24</v>
      </c>
      <c r="I306" s="28"/>
      <c r="K306" s="1" t="s">
        <v>25</v>
      </c>
    </row>
    <row r="307" spans="1:13" ht="14.25" customHeight="1" x14ac:dyDescent="0.25">
      <c r="D307" s="29">
        <v>42826</v>
      </c>
      <c r="E307" s="41">
        <v>2.6469999999999998</v>
      </c>
      <c r="F307" s="68">
        <v>42859</v>
      </c>
      <c r="G307" s="78">
        <v>2.0299999999999999E-2</v>
      </c>
      <c r="H307" s="30"/>
      <c r="I307" s="28"/>
    </row>
    <row r="308" spans="1:13" ht="14.25" customHeight="1" x14ac:dyDescent="0.25">
      <c r="D308" s="29">
        <v>42856</v>
      </c>
      <c r="E308" s="3">
        <v>1.6305000000000001</v>
      </c>
      <c r="F308" s="68">
        <v>42908</v>
      </c>
      <c r="G308" s="78">
        <v>1.5465</v>
      </c>
      <c r="H308" s="30"/>
    </row>
    <row r="309" spans="1:13" ht="14.25" customHeight="1" x14ac:dyDescent="0.25">
      <c r="D309" s="42">
        <v>42887</v>
      </c>
      <c r="E309" s="43">
        <v>1.2386999999999999</v>
      </c>
      <c r="F309" s="79">
        <v>42947</v>
      </c>
      <c r="G309" s="80">
        <v>4.99E-2</v>
      </c>
      <c r="H309" s="30"/>
    </row>
    <row r="310" spans="1:13" ht="14.25" customHeight="1" x14ac:dyDescent="0.25">
      <c r="D310" s="29">
        <v>42917</v>
      </c>
      <c r="E310" s="3">
        <v>0.92530000000000001</v>
      </c>
      <c r="F310" s="68">
        <v>42954</v>
      </c>
      <c r="G310" s="70">
        <v>4.0076000000000001</v>
      </c>
      <c r="H310" s="30"/>
    </row>
    <row r="311" spans="1:13" ht="14.25" customHeight="1" x14ac:dyDescent="0.25">
      <c r="C311" s="18" t="s">
        <v>9</v>
      </c>
      <c r="D311" s="29">
        <v>42948</v>
      </c>
      <c r="E311" s="33">
        <v>22.2193</v>
      </c>
      <c r="F311" s="68">
        <v>42964</v>
      </c>
      <c r="G311" s="70">
        <v>5.4169999999999998</v>
      </c>
      <c r="H311" s="30"/>
      <c r="I311" s="38" t="s">
        <v>26</v>
      </c>
      <c r="J311" s="39"/>
    </row>
    <row r="312" spans="1:13" ht="14.25" customHeight="1" x14ac:dyDescent="0.25">
      <c r="D312" s="29">
        <v>42979</v>
      </c>
      <c r="E312" s="33">
        <v>9.0611999999999995</v>
      </c>
      <c r="F312" s="68">
        <v>42986</v>
      </c>
      <c r="G312" s="70">
        <v>7.2736000000000001</v>
      </c>
      <c r="H312" s="30"/>
      <c r="I312" s="44" t="s">
        <v>27</v>
      </c>
      <c r="J312" s="44"/>
      <c r="K312" s="39" t="s">
        <v>28</v>
      </c>
    </row>
    <row r="313" spans="1:13" ht="14.25" customHeight="1" x14ac:dyDescent="0.25">
      <c r="D313" s="29">
        <v>43009</v>
      </c>
      <c r="E313" s="33">
        <v>6.2081</v>
      </c>
      <c r="F313" s="68">
        <v>43018</v>
      </c>
      <c r="G313" s="69">
        <v>5.2224000000000004</v>
      </c>
      <c r="H313" s="30"/>
      <c r="I313" s="39" t="s">
        <v>29</v>
      </c>
      <c r="J313" s="39"/>
      <c r="K313" s="39" t="s">
        <v>30</v>
      </c>
    </row>
    <row r="314" spans="1:13" ht="14.25" customHeight="1" x14ac:dyDescent="0.25">
      <c r="D314" s="29">
        <v>43040</v>
      </c>
      <c r="E314" s="33">
        <v>5.2367999999999997</v>
      </c>
      <c r="F314" s="68">
        <v>43047</v>
      </c>
      <c r="G314" s="69">
        <v>4.8262</v>
      </c>
      <c r="H314" s="30"/>
    </row>
    <row r="315" spans="1:13" ht="14.25" customHeight="1" x14ac:dyDescent="0.25">
      <c r="D315" s="29">
        <v>43070</v>
      </c>
      <c r="E315" s="22">
        <v>4.8472</v>
      </c>
      <c r="F315" s="67"/>
      <c r="G315" s="67"/>
      <c r="H315" s="30"/>
    </row>
    <row r="316" spans="1:13" ht="14.25" customHeight="1" x14ac:dyDescent="0.25">
      <c r="D316" s="29">
        <v>43101</v>
      </c>
      <c r="E316" s="33">
        <v>5.1862000000000004</v>
      </c>
      <c r="F316" s="68">
        <v>43109</v>
      </c>
      <c r="G316" s="70">
        <v>4.9714</v>
      </c>
      <c r="H316" s="30"/>
    </row>
    <row r="317" spans="1:13" ht="14.25" customHeight="1" x14ac:dyDescent="0.25">
      <c r="D317" s="29">
        <v>43132</v>
      </c>
      <c r="E317" s="33">
        <v>6.4863999999999997</v>
      </c>
      <c r="F317" s="68">
        <v>43145</v>
      </c>
      <c r="G317" s="70">
        <v>6.1622000000000003</v>
      </c>
      <c r="H317" s="30"/>
    </row>
    <row r="318" spans="1:13" ht="14.25" customHeight="1" x14ac:dyDescent="0.25">
      <c r="D318" s="42">
        <v>43160</v>
      </c>
      <c r="E318" s="45">
        <v>2.2319</v>
      </c>
      <c r="F318" s="81">
        <v>43186</v>
      </c>
      <c r="G318" s="82">
        <v>3.4453999999999998</v>
      </c>
      <c r="H318" s="46"/>
    </row>
    <row r="319" spans="1:13" ht="14.25" customHeight="1" x14ac:dyDescent="0.25">
      <c r="D319" s="2">
        <v>43191</v>
      </c>
      <c r="E319" s="5">
        <v>1.7816000000000001</v>
      </c>
      <c r="F319" s="68">
        <v>43228</v>
      </c>
      <c r="G319" s="69">
        <v>1.2302999999999999</v>
      </c>
      <c r="I319" s="3">
        <f>AVERAGE(E319:E327,G319:G331)</f>
        <v>1.2445318181818181</v>
      </c>
      <c r="J319" s="3">
        <f>_xlfn.STDEV.S(E319:E327,G319:G331)</f>
        <v>0.51059990709935488</v>
      </c>
      <c r="K319" s="47" t="s">
        <v>31</v>
      </c>
    </row>
    <row r="320" spans="1:13" ht="14.25" customHeight="1" x14ac:dyDescent="0.25">
      <c r="D320" s="2">
        <v>43221</v>
      </c>
      <c r="E320" s="5">
        <v>1.0641</v>
      </c>
      <c r="F320" s="68">
        <v>43263</v>
      </c>
      <c r="G320" s="69">
        <v>0.60650000000000004</v>
      </c>
      <c r="M320" s="1" t="s">
        <v>32</v>
      </c>
    </row>
    <row r="321" spans="3:14" ht="14.25" customHeight="1" x14ac:dyDescent="0.25">
      <c r="D321" s="2">
        <v>43252</v>
      </c>
      <c r="E321" s="5">
        <v>0.55110000000000003</v>
      </c>
      <c r="F321" s="68">
        <v>43299</v>
      </c>
      <c r="G321" s="70">
        <v>2.2877000000000001</v>
      </c>
    </row>
    <row r="322" spans="3:14" ht="14.25" customHeight="1" x14ac:dyDescent="0.25">
      <c r="D322" s="2">
        <v>43282</v>
      </c>
      <c r="E322" s="5">
        <v>0.87170000000000003</v>
      </c>
      <c r="F322" s="68">
        <v>43342</v>
      </c>
      <c r="G322" s="69">
        <v>1.7405999999999999</v>
      </c>
    </row>
    <row r="323" spans="3:14" ht="14.25" customHeight="1" x14ac:dyDescent="0.25">
      <c r="D323" s="2">
        <v>43313</v>
      </c>
      <c r="E323" s="5">
        <v>1.1831</v>
      </c>
      <c r="F323" s="68">
        <v>43377</v>
      </c>
      <c r="G323" s="69">
        <v>1.2202999999999999</v>
      </c>
    </row>
    <row r="324" spans="3:14" ht="14.25" customHeight="1" x14ac:dyDescent="0.25">
      <c r="D324" s="2">
        <v>43344</v>
      </c>
      <c r="E324" s="5">
        <v>1.0949</v>
      </c>
      <c r="F324" s="68">
        <v>43416</v>
      </c>
      <c r="G324" s="69">
        <v>1.3521000000000001</v>
      </c>
    </row>
    <row r="325" spans="3:14" ht="14.25" customHeight="1" x14ac:dyDescent="0.25">
      <c r="D325" s="2">
        <v>43374</v>
      </c>
      <c r="E325" s="5">
        <v>1.5285</v>
      </c>
      <c r="F325" s="68">
        <v>43452</v>
      </c>
      <c r="G325" s="69">
        <v>0.97940000000000005</v>
      </c>
    </row>
    <row r="326" spans="3:14" ht="14.25" customHeight="1" x14ac:dyDescent="0.25">
      <c r="D326" s="2">
        <v>43405</v>
      </c>
      <c r="E326" s="6">
        <v>2.2818000000000001</v>
      </c>
      <c r="F326" s="68">
        <v>43494</v>
      </c>
      <c r="G326" s="69">
        <v>0.42349999999999999</v>
      </c>
    </row>
    <row r="327" spans="3:14" ht="14.25" customHeight="1" x14ac:dyDescent="0.25">
      <c r="D327" s="2">
        <v>43435</v>
      </c>
      <c r="E327" s="6">
        <v>1.115</v>
      </c>
      <c r="F327" s="68">
        <v>43522</v>
      </c>
      <c r="G327" s="69">
        <v>0.68520000000000003</v>
      </c>
    </row>
    <row r="328" spans="3:14" ht="14.25" customHeight="1" x14ac:dyDescent="0.25">
      <c r="F328" s="68">
        <v>43558</v>
      </c>
      <c r="G328" s="69">
        <v>0.97350000000000003</v>
      </c>
    </row>
    <row r="329" spans="3:14" ht="14.25" customHeight="1" x14ac:dyDescent="0.25">
      <c r="F329" s="68">
        <v>43599</v>
      </c>
      <c r="G329" s="69">
        <v>1.1857</v>
      </c>
    </row>
    <row r="330" spans="3:14" ht="14.25" customHeight="1" x14ac:dyDescent="0.25">
      <c r="F330" s="68">
        <v>43634</v>
      </c>
      <c r="G330" s="69">
        <v>1.9093</v>
      </c>
    </row>
    <row r="331" spans="3:14" ht="14.25" customHeight="1" x14ac:dyDescent="0.25">
      <c r="F331" s="68">
        <v>43672</v>
      </c>
      <c r="G331" s="69">
        <v>1.3138000000000001</v>
      </c>
    </row>
    <row r="332" spans="3:14" ht="14.25" customHeight="1" x14ac:dyDescent="0.25">
      <c r="F332" s="68">
        <v>43713</v>
      </c>
      <c r="G332" s="70">
        <v>3.7544</v>
      </c>
      <c r="I332" s="3">
        <f>AVERAGE(G332:G339)</f>
        <v>18.496549999999999</v>
      </c>
      <c r="J332" s="3">
        <f>_xlfn.STDEV.S(,G332:G339)</f>
        <v>13.302497388533647</v>
      </c>
    </row>
    <row r="333" spans="3:14" ht="14.25" customHeight="1" x14ac:dyDescent="0.25">
      <c r="C333" s="48" t="s">
        <v>33</v>
      </c>
      <c r="F333" s="83">
        <v>43726</v>
      </c>
      <c r="G333" s="84">
        <v>24.235199999999999</v>
      </c>
      <c r="L333" s="38" t="s">
        <v>34</v>
      </c>
      <c r="M333" s="39"/>
      <c r="N333" s="39"/>
    </row>
    <row r="334" spans="3:14" ht="14.25" customHeight="1" x14ac:dyDescent="0.25">
      <c r="F334" s="85">
        <v>43740</v>
      </c>
      <c r="G334" s="86">
        <v>6.8384999999999998</v>
      </c>
      <c r="L334" s="39" t="s">
        <v>35</v>
      </c>
      <c r="M334" s="39"/>
      <c r="N334" s="39" t="s">
        <v>36</v>
      </c>
    </row>
    <row r="335" spans="3:14" ht="14.25" customHeight="1" x14ac:dyDescent="0.25">
      <c r="F335" s="85">
        <v>43754</v>
      </c>
      <c r="G335" s="87">
        <v>16.317599999999999</v>
      </c>
      <c r="L335" s="39" t="s">
        <v>37</v>
      </c>
      <c r="M335" s="39"/>
      <c r="N335" s="39" t="s">
        <v>38</v>
      </c>
    </row>
    <row r="336" spans="3:14" ht="14.25" customHeight="1" x14ac:dyDescent="0.25">
      <c r="F336" s="85">
        <v>43767</v>
      </c>
      <c r="G336" s="87">
        <v>38.520400000000002</v>
      </c>
    </row>
    <row r="337" spans="2:21" ht="14.25" customHeight="1" x14ac:dyDescent="0.25">
      <c r="F337" s="85">
        <v>43773</v>
      </c>
      <c r="G337" s="87">
        <v>32.610999999999997</v>
      </c>
    </row>
    <row r="338" spans="2:21" ht="14.25" customHeight="1" x14ac:dyDescent="0.25">
      <c r="F338" s="85">
        <v>43801</v>
      </c>
      <c r="G338" s="86">
        <v>7.5265000000000004</v>
      </c>
    </row>
    <row r="339" spans="2:21" ht="14.25" customHeight="1" x14ac:dyDescent="0.25">
      <c r="F339" s="85">
        <v>43809</v>
      </c>
      <c r="G339" s="87">
        <v>18.168800000000001</v>
      </c>
    </row>
    <row r="340" spans="2:21" ht="14.25" customHeight="1" x14ac:dyDescent="0.25">
      <c r="D340" s="49">
        <v>2020</v>
      </c>
      <c r="E340" s="50"/>
      <c r="F340" s="88">
        <v>43839</v>
      </c>
      <c r="G340" s="89">
        <v>1.8567</v>
      </c>
      <c r="H340" s="50"/>
      <c r="I340" s="50"/>
      <c r="J340" s="51"/>
      <c r="T340" s="1" t="s">
        <v>39</v>
      </c>
    </row>
    <row r="341" spans="2:21" ht="14.25" customHeight="1" x14ac:dyDescent="0.25">
      <c r="D341" s="52"/>
      <c r="E341" s="28"/>
      <c r="F341" s="68">
        <v>43865</v>
      </c>
      <c r="G341" s="69">
        <v>1.6234</v>
      </c>
      <c r="H341" s="28"/>
      <c r="I341" s="28"/>
      <c r="J341" s="53"/>
    </row>
    <row r="342" spans="2:21" ht="14.25" customHeight="1" x14ac:dyDescent="0.25">
      <c r="B342" s="21" t="s">
        <v>10</v>
      </c>
      <c r="C342" s="18" t="s">
        <v>9</v>
      </c>
      <c r="D342" s="52"/>
      <c r="E342" s="28"/>
      <c r="F342" s="68">
        <v>43942</v>
      </c>
      <c r="G342" s="70">
        <v>3.0617999999999999</v>
      </c>
      <c r="H342" s="28"/>
      <c r="I342" s="28"/>
      <c r="J342" s="53"/>
      <c r="K342" s="1" t="s">
        <v>40</v>
      </c>
      <c r="T342" s="3">
        <f>AVERAGE(G340:G356,G363:G380)</f>
        <v>1.6486057142857138</v>
      </c>
      <c r="U342" s="3">
        <f>_xlfn.STDEV.S(G340:G356,G363:G380)</f>
        <v>0.76048944415571562</v>
      </c>
    </row>
    <row r="343" spans="2:21" ht="14.25" customHeight="1" x14ac:dyDescent="0.25">
      <c r="D343" s="52"/>
      <c r="E343" s="28"/>
      <c r="F343" s="68">
        <v>43955</v>
      </c>
      <c r="G343" s="70">
        <v>2.6305000000000001</v>
      </c>
      <c r="H343" s="39" t="s">
        <v>41</v>
      </c>
      <c r="I343" s="28"/>
      <c r="J343" s="53"/>
      <c r="K343" s="3">
        <f>AVERAGE(G340:G350)</f>
        <v>1.9054454545454542</v>
      </c>
      <c r="L343" s="3">
        <f>_xlfn.STDEV.S(G340:G350)</f>
        <v>0.67050743226848186</v>
      </c>
      <c r="O343" s="39"/>
      <c r="P343" s="39"/>
    </row>
    <row r="344" spans="2:21" ht="14.25" customHeight="1" x14ac:dyDescent="0.25">
      <c r="D344" s="52"/>
      <c r="E344" s="28"/>
      <c r="F344" s="68">
        <v>43993</v>
      </c>
      <c r="G344" s="70">
        <v>1.9882</v>
      </c>
      <c r="H344" s="28"/>
      <c r="I344" s="28"/>
      <c r="J344" s="53"/>
      <c r="K344" s="54"/>
      <c r="L344" s="55" t="s">
        <v>42</v>
      </c>
      <c r="M344" s="55"/>
      <c r="N344" s="55"/>
      <c r="O344" s="55"/>
      <c r="P344" s="56"/>
    </row>
    <row r="345" spans="2:21" ht="14.25" customHeight="1" x14ac:dyDescent="0.25">
      <c r="D345" s="52"/>
      <c r="E345" s="28"/>
      <c r="F345" s="68">
        <v>44033</v>
      </c>
      <c r="G345" s="69">
        <v>0.77910000000000001</v>
      </c>
      <c r="H345" s="28"/>
      <c r="I345" s="28"/>
      <c r="J345" s="53"/>
    </row>
    <row r="346" spans="2:21" ht="14.25" customHeight="1" x14ac:dyDescent="0.25">
      <c r="D346" s="52"/>
      <c r="E346" s="28"/>
      <c r="F346" s="68">
        <v>44070</v>
      </c>
      <c r="G346" s="69">
        <v>1.4277</v>
      </c>
      <c r="H346" s="28"/>
      <c r="I346" s="28"/>
      <c r="J346" s="53"/>
      <c r="K346" s="39" t="s">
        <v>43</v>
      </c>
      <c r="L346" s="39"/>
      <c r="M346" s="39"/>
      <c r="T346" s="1" t="s">
        <v>44</v>
      </c>
    </row>
    <row r="347" spans="2:21" ht="14.25" customHeight="1" x14ac:dyDescent="0.25">
      <c r="D347" s="52"/>
      <c r="E347" s="28"/>
      <c r="F347" s="90">
        <v>44090</v>
      </c>
      <c r="G347" s="70">
        <v>1.8474999999999999</v>
      </c>
      <c r="H347" s="28"/>
      <c r="I347" s="28"/>
      <c r="J347" s="53"/>
    </row>
    <row r="348" spans="2:21" ht="14.25" customHeight="1" x14ac:dyDescent="0.25">
      <c r="D348" s="52"/>
      <c r="E348" s="28"/>
      <c r="F348" s="68">
        <v>44117</v>
      </c>
      <c r="G348" s="69">
        <v>1.2359</v>
      </c>
      <c r="H348" s="28"/>
      <c r="I348" s="28"/>
      <c r="J348" s="53"/>
    </row>
    <row r="349" spans="2:21" ht="14.25" customHeight="1" x14ac:dyDescent="0.25">
      <c r="D349" s="52"/>
      <c r="E349" s="28"/>
      <c r="F349" s="68">
        <v>44151</v>
      </c>
      <c r="G349" s="69">
        <v>1.8351</v>
      </c>
      <c r="H349" s="28"/>
      <c r="I349" s="28"/>
      <c r="J349" s="53"/>
    </row>
    <row r="350" spans="2:21" ht="14.25" customHeight="1" x14ac:dyDescent="0.25">
      <c r="D350" s="57"/>
      <c r="E350" s="28"/>
      <c r="F350" s="68">
        <v>44180</v>
      </c>
      <c r="G350" s="70">
        <v>2.6739999999999999</v>
      </c>
      <c r="H350" s="28"/>
      <c r="I350" s="9"/>
      <c r="J350" s="58"/>
    </row>
    <row r="351" spans="2:21" ht="14.25" customHeight="1" x14ac:dyDescent="0.25">
      <c r="E351" s="59">
        <v>2021</v>
      </c>
      <c r="F351" s="76">
        <v>44210</v>
      </c>
      <c r="G351" s="91">
        <v>0.99970000000000003</v>
      </c>
      <c r="H351" s="27"/>
      <c r="P351" s="1" t="s">
        <v>40</v>
      </c>
    </row>
    <row r="352" spans="2:21" ht="14.25" customHeight="1" x14ac:dyDescent="0.25">
      <c r="E352" s="60"/>
      <c r="F352" s="68">
        <v>44244</v>
      </c>
      <c r="G352" s="69">
        <v>0.95009999999999994</v>
      </c>
      <c r="H352" s="30"/>
      <c r="K352" s="1" t="s">
        <v>45</v>
      </c>
      <c r="P352" s="3">
        <f>AVERAGE(G351:G363)</f>
        <v>3.8516153846153838</v>
      </c>
      <c r="Q352" s="3">
        <f>_xlfn.STDEV.S(G351:G363)</f>
        <v>4.4720739582521372</v>
      </c>
    </row>
    <row r="353" spans="4:14" ht="14.25" customHeight="1" x14ac:dyDescent="0.25">
      <c r="E353" s="60"/>
      <c r="F353" s="68">
        <v>44278</v>
      </c>
      <c r="G353" s="69">
        <v>0.87419999999999998</v>
      </c>
      <c r="H353" s="30"/>
      <c r="K353" s="3">
        <f>AVERAGE(G351:G356,G363)</f>
        <v>1.1704285714285716</v>
      </c>
      <c r="L353" s="3">
        <f>_xlfn.STDEV.S(G351:G356,G363)</f>
        <v>0.46915920792514731</v>
      </c>
    </row>
    <row r="354" spans="4:14" ht="14.25" customHeight="1" x14ac:dyDescent="0.25">
      <c r="E354" s="60"/>
      <c r="F354" s="68">
        <v>44306</v>
      </c>
      <c r="G354" s="69">
        <v>1.49</v>
      </c>
      <c r="H354" s="30"/>
    </row>
    <row r="355" spans="4:14" ht="14.25" customHeight="1" x14ac:dyDescent="0.25">
      <c r="E355" s="60"/>
      <c r="F355" s="68">
        <v>44336</v>
      </c>
      <c r="G355" s="69">
        <v>0.52959999999999996</v>
      </c>
      <c r="H355" s="30"/>
    </row>
    <row r="356" spans="4:14" ht="14.25" customHeight="1" x14ac:dyDescent="0.25">
      <c r="E356" s="60"/>
      <c r="F356" s="68">
        <v>44362</v>
      </c>
      <c r="G356" s="69">
        <v>1.4159999999999999</v>
      </c>
      <c r="H356" s="30"/>
    </row>
    <row r="357" spans="4:14" ht="14.25" customHeight="1" x14ac:dyDescent="0.25">
      <c r="D357" s="17" t="s">
        <v>46</v>
      </c>
      <c r="E357" s="60"/>
      <c r="F357" s="92">
        <v>44397</v>
      </c>
      <c r="G357" s="93">
        <v>2.3940999999999999</v>
      </c>
      <c r="H357" s="30" t="s">
        <v>47</v>
      </c>
      <c r="I357" s="3">
        <f>AVERAGE(G358:G362)</f>
        <v>7.8967800000000015</v>
      </c>
      <c r="J357" s="3">
        <f>_xlfn.STDEV.S(G358:G362)</f>
        <v>5.1090657088160434</v>
      </c>
    </row>
    <row r="358" spans="4:14" ht="14.25" customHeight="1" x14ac:dyDescent="0.25">
      <c r="E358" s="60"/>
      <c r="F358" s="94">
        <v>44427</v>
      </c>
      <c r="G358" s="95">
        <v>9.3816000000000006</v>
      </c>
      <c r="H358" s="30"/>
      <c r="I358" s="1" t="s">
        <v>48</v>
      </c>
    </row>
    <row r="359" spans="4:14" ht="14.25" customHeight="1" x14ac:dyDescent="0.25">
      <c r="E359" s="60"/>
      <c r="F359" s="94">
        <v>44434</v>
      </c>
      <c r="G359" s="96">
        <v>16.161100000000001</v>
      </c>
      <c r="H359" s="30"/>
    </row>
    <row r="360" spans="4:14" ht="14.25" customHeight="1" x14ac:dyDescent="0.25">
      <c r="E360" s="60"/>
      <c r="F360" s="94">
        <v>44468</v>
      </c>
      <c r="G360" s="97">
        <v>5.7743000000000002</v>
      </c>
      <c r="H360" s="61"/>
      <c r="I360" s="62" t="s">
        <v>49</v>
      </c>
      <c r="K360" s="39"/>
      <c r="L360" s="39"/>
      <c r="M360" s="39"/>
    </row>
    <row r="361" spans="4:14" ht="14.25" customHeight="1" x14ac:dyDescent="0.25">
      <c r="E361" s="60"/>
      <c r="F361" s="94">
        <v>44494</v>
      </c>
      <c r="G361" s="98">
        <v>4.4825999999999997</v>
      </c>
      <c r="H361" s="63"/>
      <c r="I361" s="64"/>
    </row>
    <row r="362" spans="4:14" ht="14.25" customHeight="1" x14ac:dyDescent="0.25">
      <c r="E362" s="60"/>
      <c r="F362" s="99">
        <v>44525</v>
      </c>
      <c r="G362" s="100">
        <v>3.6842999999999999</v>
      </c>
      <c r="H362" s="30"/>
    </row>
    <row r="363" spans="4:14" ht="14.25" customHeight="1" x14ac:dyDescent="0.25">
      <c r="E363" s="65"/>
      <c r="F363" s="79">
        <v>44550</v>
      </c>
      <c r="G363" s="101">
        <v>1.9334</v>
      </c>
      <c r="H363" s="46"/>
    </row>
    <row r="364" spans="4:14" ht="14.25" customHeight="1" x14ac:dyDescent="0.25">
      <c r="D364" s="18" t="s">
        <v>9</v>
      </c>
      <c r="E364" s="59">
        <v>2022</v>
      </c>
      <c r="F364" s="76">
        <v>44592</v>
      </c>
      <c r="G364" s="91">
        <v>1.2997000000000001</v>
      </c>
      <c r="H364" s="27"/>
    </row>
    <row r="365" spans="4:14" ht="14.25" customHeight="1" x14ac:dyDescent="0.25">
      <c r="E365" s="60"/>
      <c r="F365" s="68">
        <v>44614</v>
      </c>
      <c r="G365" s="69">
        <v>1.6407</v>
      </c>
      <c r="H365" s="30"/>
      <c r="I365" s="54"/>
      <c r="J365" s="55" t="s">
        <v>42</v>
      </c>
      <c r="K365" s="55"/>
      <c r="L365" s="55"/>
      <c r="M365" s="55"/>
      <c r="N365" s="56"/>
    </row>
    <row r="366" spans="4:14" ht="14.25" customHeight="1" x14ac:dyDescent="0.25">
      <c r="D366" s="21" t="s">
        <v>10</v>
      </c>
      <c r="E366" s="60"/>
      <c r="F366" s="68">
        <v>44651</v>
      </c>
      <c r="G366" s="69">
        <v>1.8565</v>
      </c>
      <c r="H366" s="30"/>
      <c r="J366" s="1" t="s">
        <v>40</v>
      </c>
    </row>
    <row r="367" spans="4:14" ht="14.25" customHeight="1" x14ac:dyDescent="0.25">
      <c r="E367" s="60"/>
      <c r="F367" s="68">
        <v>44658</v>
      </c>
      <c r="G367" s="70">
        <v>3.6135000000000002</v>
      </c>
      <c r="H367" s="30"/>
      <c r="J367" s="3">
        <f>AVERAGE(G364:G380)</f>
        <v>1.6793117647058826</v>
      </c>
      <c r="K367" s="3">
        <f>_xlfn.STDEV.S(G364:G380)</f>
        <v>0.84797563340755244</v>
      </c>
    </row>
    <row r="368" spans="4:14" ht="14.25" customHeight="1" x14ac:dyDescent="0.25">
      <c r="E368" s="60"/>
      <c r="F368" s="68">
        <v>44678</v>
      </c>
      <c r="G368" s="69">
        <v>1.8005</v>
      </c>
      <c r="H368" s="30"/>
    </row>
    <row r="369" spans="5:15" ht="14.25" customHeight="1" x14ac:dyDescent="0.25">
      <c r="E369" s="60"/>
      <c r="F369" s="68">
        <v>44693</v>
      </c>
      <c r="G369" s="69">
        <v>1.7928999999999999</v>
      </c>
      <c r="H369" s="30"/>
    </row>
    <row r="370" spans="5:15" ht="14.25" customHeight="1" x14ac:dyDescent="0.25">
      <c r="E370" s="60"/>
      <c r="F370" s="68">
        <v>44698</v>
      </c>
      <c r="G370" s="70">
        <v>3.2406999999999999</v>
      </c>
      <c r="H370" s="30"/>
    </row>
    <row r="371" spans="5:15" ht="14.25" customHeight="1" x14ac:dyDescent="0.25">
      <c r="E371" s="60"/>
      <c r="F371" s="68">
        <v>44739</v>
      </c>
      <c r="G371" s="69">
        <v>0.8518</v>
      </c>
      <c r="H371" s="30"/>
    </row>
    <row r="372" spans="5:15" ht="14.25" customHeight="1" x14ac:dyDescent="0.25">
      <c r="E372" s="60"/>
      <c r="F372" s="68">
        <v>44763</v>
      </c>
      <c r="G372" s="69">
        <v>0.88749999999999996</v>
      </c>
      <c r="H372" s="30"/>
    </row>
    <row r="373" spans="5:15" ht="14.25" customHeight="1" x14ac:dyDescent="0.25">
      <c r="E373" s="60"/>
      <c r="F373" s="68">
        <v>44797</v>
      </c>
      <c r="G373" s="69">
        <v>0.74829999999999997</v>
      </c>
      <c r="H373" s="30"/>
    </row>
    <row r="374" spans="5:15" ht="14.25" customHeight="1" x14ac:dyDescent="0.25">
      <c r="E374" s="60"/>
      <c r="F374" s="68">
        <v>44833</v>
      </c>
      <c r="G374" s="70">
        <v>2.1840999999999999</v>
      </c>
      <c r="H374" s="30"/>
      <c r="N374" s="66" t="s">
        <v>50</v>
      </c>
    </row>
    <row r="375" spans="5:15" ht="14.25" customHeight="1" x14ac:dyDescent="0.25">
      <c r="E375" s="60"/>
      <c r="F375" s="68">
        <v>44860</v>
      </c>
      <c r="G375" s="70">
        <v>2.7343000000000002</v>
      </c>
      <c r="H375" s="30"/>
      <c r="N375" s="3">
        <f>AVERAGE(G342:G343,G350,G367,G370,G374:G375)</f>
        <v>2.876985714285714</v>
      </c>
      <c r="O375" s="3">
        <f>_xlfn.STDEV.S(G342:G343,G350,G367,G370,G374:G375)</f>
        <v>0.46749437226050033</v>
      </c>
    </row>
    <row r="376" spans="5:15" ht="14.25" customHeight="1" x14ac:dyDescent="0.25">
      <c r="E376" s="60"/>
      <c r="F376" s="68">
        <v>44874</v>
      </c>
      <c r="G376" s="69">
        <v>1.6289</v>
      </c>
      <c r="H376" s="30"/>
    </row>
    <row r="377" spans="5:15" ht="14.25" customHeight="1" x14ac:dyDescent="0.25">
      <c r="E377" s="60"/>
      <c r="F377" s="68">
        <v>44889</v>
      </c>
      <c r="G377" s="69">
        <v>1.292</v>
      </c>
      <c r="H377" s="30"/>
    </row>
    <row r="378" spans="5:15" ht="14.25" customHeight="1" x14ac:dyDescent="0.25">
      <c r="E378" s="60"/>
      <c r="F378" s="68">
        <v>44895</v>
      </c>
      <c r="G378" s="69">
        <v>0.98470000000000002</v>
      </c>
      <c r="H378" s="30"/>
    </row>
    <row r="379" spans="5:15" ht="14.25" customHeight="1" x14ac:dyDescent="0.25">
      <c r="E379" s="60"/>
      <c r="F379" s="68">
        <v>44915</v>
      </c>
      <c r="G379" s="69">
        <v>0.93920000000000003</v>
      </c>
      <c r="H379" s="30"/>
    </row>
    <row r="380" spans="5:15" ht="14.25" customHeight="1" x14ac:dyDescent="0.25">
      <c r="E380" s="65"/>
      <c r="F380" s="79">
        <v>44951</v>
      </c>
      <c r="G380" s="101">
        <v>1.0529999999999999</v>
      </c>
      <c r="H380" s="46"/>
    </row>
    <row r="381" spans="5:15" ht="14.25" customHeight="1" x14ac:dyDescent="0.25"/>
    <row r="382" spans="5:15" ht="14.25" customHeight="1" x14ac:dyDescent="0.25"/>
    <row r="383" spans="5:15" ht="14.25" customHeight="1" x14ac:dyDescent="0.25"/>
    <row r="384" spans="5:15"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baseColWidth="10" defaultColWidth="14.42578125" defaultRowHeight="15" customHeight="1" x14ac:dyDescent="0.25"/>
  <cols>
    <col min="1" max="26" width="10.7109375" customWidth="1"/>
  </cols>
  <sheetData>
    <row r="1" ht="14.25" customHeight="1" x14ac:dyDescent="0.25"/>
    <row r="2" ht="14.25" customHeight="1" x14ac:dyDescent="0.25"/>
    <row r="3" ht="14.25" customHeight="1" x14ac:dyDescent="0.25"/>
    <row r="4" ht="14.25" customHeight="1" x14ac:dyDescent="0.25"/>
    <row r="5" ht="14.25" customHeight="1" x14ac:dyDescent="0.25"/>
    <row r="6" ht="14.25" customHeight="1" x14ac:dyDescent="0.25"/>
    <row r="7" ht="14.25" customHeight="1" x14ac:dyDescent="0.25"/>
    <row r="8" ht="14.25" customHeight="1" x14ac:dyDescent="0.25"/>
    <row r="9" ht="14.25" customHeight="1" x14ac:dyDescent="0.25"/>
    <row r="10" ht="14.25" customHeight="1" x14ac:dyDescent="0.25"/>
    <row r="11" ht="14.25" customHeight="1" x14ac:dyDescent="0.25"/>
    <row r="12" ht="14.25" customHeight="1" x14ac:dyDescent="0.25"/>
    <row r="13" ht="14.25" customHeight="1" x14ac:dyDescent="0.25"/>
    <row r="14" ht="14.25" customHeight="1" x14ac:dyDescent="0.25"/>
    <row r="15" ht="14.25" customHeight="1" x14ac:dyDescent="0.25"/>
    <row r="1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baseColWidth="10" defaultColWidth="14.42578125" defaultRowHeight="15" customHeight="1" x14ac:dyDescent="0.25"/>
  <cols>
    <col min="1" max="26" width="10.7109375" customWidth="1"/>
  </cols>
  <sheetData>
    <row r="1" ht="14.25" customHeight="1" x14ac:dyDescent="0.25"/>
    <row r="2" ht="14.25" customHeight="1" x14ac:dyDescent="0.25"/>
    <row r="3" ht="14.25" customHeight="1" x14ac:dyDescent="0.25"/>
    <row r="4" ht="14.25" customHeight="1" x14ac:dyDescent="0.25"/>
    <row r="5" ht="14.25" customHeight="1" x14ac:dyDescent="0.25"/>
    <row r="6" ht="14.25" customHeight="1" x14ac:dyDescent="0.25"/>
    <row r="7" ht="14.25" customHeight="1" x14ac:dyDescent="0.25"/>
    <row r="8" ht="14.25" customHeight="1" x14ac:dyDescent="0.25"/>
    <row r="9" ht="14.25" customHeight="1" x14ac:dyDescent="0.25"/>
    <row r="10" ht="14.25" customHeight="1" x14ac:dyDescent="0.25"/>
    <row r="11" ht="14.25" customHeight="1" x14ac:dyDescent="0.25"/>
    <row r="12" ht="14.25" customHeight="1" x14ac:dyDescent="0.25"/>
    <row r="13" ht="14.25" customHeight="1" x14ac:dyDescent="0.25"/>
    <row r="14" ht="14.25" customHeight="1" x14ac:dyDescent="0.25"/>
    <row r="15" ht="14.25" customHeight="1" x14ac:dyDescent="0.25"/>
    <row r="1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juanm.ruiz</dc:creator>
  <cp:lastModifiedBy>Julia</cp:lastModifiedBy>
  <dcterms:created xsi:type="dcterms:W3CDTF">2023-02-14T12:56:27Z</dcterms:created>
  <dcterms:modified xsi:type="dcterms:W3CDTF">2025-04-08T16:02:48Z</dcterms:modified>
</cp:coreProperties>
</file>