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\Documents\VSCODE_BELLICH\src\datos\bq\set5\"/>
    </mc:Choice>
  </mc:AlternateContent>
  <bookViews>
    <workbookView xWindow="480" yWindow="60" windowWidth="22116" windowHeight="9528"/>
  </bookViews>
  <sheets>
    <sheet name="ARG8182" sheetId="1" r:id="rId1"/>
    <sheet name="JC9092" sheetId="2" r:id="rId2"/>
    <sheet name="JC9092 medias" sheetId="3" r:id="rId3"/>
    <sheet name="EUROGEL" sheetId="5" r:id="rId4"/>
    <sheet name="MMEM" sheetId="4" r:id="rId5"/>
    <sheet name="SATELITE" sheetId="6" r:id="rId6"/>
  </sheets>
  <definedNames>
    <definedName name="_xlnm._FilterDatabase" localSheetId="0" hidden="1">'ARG8182'!$A$2:$M$26</definedName>
    <definedName name="_xlnm._FilterDatabase" localSheetId="1" hidden="1">'JC9092'!$A$2:$J$122</definedName>
  </definedNames>
  <calcPr calcId="162913"/>
</workbook>
</file>

<file path=xl/calcChain.xml><?xml version="1.0" encoding="utf-8"?>
<calcChain xmlns="http://schemas.openxmlformats.org/spreadsheetml/2006/main">
  <c r="J26" i="5" l="1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J6" i="5"/>
  <c r="I6" i="5"/>
  <c r="J5" i="5"/>
  <c r="I5" i="5"/>
  <c r="J4" i="5"/>
  <c r="I4" i="5"/>
  <c r="J3" i="5"/>
  <c r="I3" i="5"/>
  <c r="D16" i="5"/>
  <c r="I16" i="5" s="1"/>
  <c r="J16" i="5" l="1"/>
  <c r="C40" i="2"/>
  <c r="D247" i="2"/>
  <c r="C247" i="2"/>
  <c r="D243" i="2"/>
  <c r="C243" i="2"/>
  <c r="D239" i="2"/>
  <c r="C239" i="2"/>
  <c r="D234" i="2"/>
  <c r="C234" i="2"/>
  <c r="D208" i="2"/>
  <c r="D212" i="2"/>
  <c r="D217" i="2"/>
  <c r="D221" i="2"/>
  <c r="D225" i="2"/>
  <c r="D230" i="2"/>
  <c r="C230" i="2"/>
  <c r="C225" i="2"/>
  <c r="C221" i="2"/>
  <c r="C217" i="2"/>
  <c r="C212" i="2"/>
  <c r="C208" i="2"/>
  <c r="D205" i="2"/>
  <c r="C205" i="2"/>
  <c r="D202" i="2"/>
  <c r="C202" i="2"/>
  <c r="D197" i="2"/>
  <c r="C197" i="2"/>
  <c r="D194" i="2"/>
  <c r="C194" i="2"/>
  <c r="D190" i="2"/>
  <c r="C190" i="2"/>
  <c r="D186" i="2"/>
  <c r="C186" i="2"/>
  <c r="D182" i="2"/>
  <c r="C182" i="2"/>
  <c r="D177" i="2"/>
  <c r="C177" i="2"/>
  <c r="D173" i="2"/>
  <c r="C173" i="2"/>
  <c r="D169" i="2"/>
  <c r="C169" i="2"/>
  <c r="D165" i="2"/>
  <c r="C165" i="2"/>
  <c r="D159" i="2"/>
  <c r="D161" i="2"/>
  <c r="C161" i="2"/>
  <c r="D156" i="2"/>
  <c r="C159" i="2"/>
  <c r="C156" i="2"/>
  <c r="C150" i="2"/>
  <c r="C147" i="2"/>
  <c r="C136" i="2"/>
  <c r="D153" i="2"/>
  <c r="D150" i="2"/>
  <c r="D147" i="2"/>
  <c r="D145" i="2"/>
  <c r="D143" i="2"/>
  <c r="D141" i="2"/>
  <c r="D139" i="2"/>
  <c r="D136" i="2"/>
  <c r="D134" i="2"/>
  <c r="D130" i="2"/>
  <c r="C153" i="2"/>
  <c r="C145" i="2"/>
  <c r="C143" i="2"/>
  <c r="C141" i="2"/>
  <c r="C139" i="2"/>
  <c r="D132" i="2"/>
  <c r="C132" i="2"/>
  <c r="C134" i="2"/>
  <c r="C130" i="2"/>
  <c r="D128" i="2"/>
  <c r="C128" i="2"/>
  <c r="B124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D115" i="2"/>
  <c r="C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D105" i="2"/>
  <c r="C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D94" i="2"/>
  <c r="C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D83" i="2"/>
  <c r="C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D73" i="2"/>
  <c r="C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1" i="2"/>
  <c r="I61" i="2"/>
  <c r="D61" i="2"/>
  <c r="C61" i="2"/>
  <c r="J60" i="2"/>
  <c r="I60" i="2"/>
  <c r="J59" i="2"/>
  <c r="I59" i="2"/>
  <c r="J58" i="2"/>
  <c r="I58" i="2"/>
  <c r="J57" i="2"/>
  <c r="I57" i="2"/>
  <c r="J56" i="2"/>
  <c r="I56" i="2"/>
  <c r="J55" i="2"/>
  <c r="I55" i="2"/>
  <c r="J53" i="2"/>
  <c r="I53" i="2"/>
  <c r="J52" i="2"/>
  <c r="I52" i="2"/>
  <c r="J51" i="2"/>
  <c r="I51" i="2"/>
  <c r="D51" i="2"/>
  <c r="C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D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D29" i="2"/>
  <c r="C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D19" i="2"/>
  <c r="C19" i="2"/>
  <c r="J18" i="2"/>
  <c r="I18" i="2"/>
  <c r="J17" i="2"/>
  <c r="I17" i="2"/>
  <c r="J16" i="2"/>
  <c r="I16" i="2"/>
  <c r="J15" i="2"/>
  <c r="I15" i="2"/>
  <c r="J14" i="2"/>
  <c r="I14" i="2"/>
  <c r="J12" i="2"/>
  <c r="I12" i="2"/>
  <c r="D12" i="2"/>
  <c r="C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3" i="2"/>
  <c r="I3" i="2"/>
  <c r="D3" i="2"/>
  <c r="C3" i="2"/>
  <c r="K5" i="1"/>
  <c r="L25" i="1"/>
  <c r="K25" i="1"/>
  <c r="L23" i="1"/>
  <c r="K23" i="1"/>
  <c r="L21" i="1"/>
  <c r="K21" i="1"/>
  <c r="L19" i="1"/>
  <c r="K19" i="1"/>
  <c r="L15" i="1"/>
  <c r="K15" i="1"/>
  <c r="L13" i="1"/>
  <c r="K13" i="1"/>
  <c r="L11" i="1"/>
  <c r="K11" i="1"/>
  <c r="L7" i="1"/>
  <c r="K7" i="1"/>
  <c r="L5" i="1"/>
  <c r="L3" i="1"/>
  <c r="K3" i="1"/>
  <c r="B28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6" i="1"/>
  <c r="I16" i="1"/>
  <c r="J15" i="1"/>
  <c r="I15" i="1"/>
  <c r="J14" i="1"/>
  <c r="I14" i="1"/>
  <c r="J13" i="1"/>
  <c r="I13" i="1"/>
  <c r="J12" i="1"/>
  <c r="I12" i="1"/>
  <c r="J11" i="1"/>
  <c r="I11" i="1"/>
  <c r="J8" i="1"/>
  <c r="I8" i="1"/>
  <c r="J7" i="1"/>
  <c r="I7" i="1"/>
  <c r="J6" i="1"/>
  <c r="I6" i="1"/>
  <c r="J5" i="1"/>
  <c r="I5" i="1"/>
  <c r="J4" i="1"/>
  <c r="I4" i="1"/>
  <c r="J3" i="1"/>
  <c r="I3" i="1"/>
</calcChain>
</file>

<file path=xl/sharedStrings.xml><?xml version="1.0" encoding="utf-8"?>
<sst xmlns="http://schemas.openxmlformats.org/spreadsheetml/2006/main" count="91" uniqueCount="47">
  <si>
    <t>A</t>
  </si>
  <si>
    <t>B</t>
  </si>
  <si>
    <t>C</t>
  </si>
  <si>
    <t>arg8182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</si>
  <si>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</si>
  <si>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</si>
  <si>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</si>
  <si>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</si>
  <si>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</si>
  <si>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</si>
  <si>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</si>
  <si>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</si>
  <si>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</si>
  <si>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</si>
  <si>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</si>
  <si>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</si>
  <si>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FECHA</t>
  </si>
  <si>
    <t>estaciones superficie</t>
  </si>
  <si>
    <t>Medit</t>
  </si>
  <si>
    <t>media</t>
  </si>
  <si>
    <t>ES</t>
  </si>
  <si>
    <t>mes</t>
  </si>
  <si>
    <t>fecha</t>
  </si>
  <si>
    <t>E1</t>
  </si>
  <si>
    <t>E2</t>
  </si>
  <si>
    <t>E3</t>
  </si>
  <si>
    <t>E4</t>
  </si>
  <si>
    <t>ESTACIONES SUPERFICIE</t>
  </si>
  <si>
    <t>JC90-92</t>
  </si>
  <si>
    <t>nº dias=</t>
  </si>
  <si>
    <t>nº dias</t>
  </si>
  <si>
    <t>media mes</t>
  </si>
  <si>
    <t>año</t>
  </si>
  <si>
    <t>max</t>
  </si>
  <si>
    <t>PROYECTO MMEM</t>
  </si>
  <si>
    <t>Clorofila a</t>
  </si>
  <si>
    <t>JUAN CANO</t>
  </si>
  <si>
    <t>E6</t>
  </si>
  <si>
    <t>E13</t>
  </si>
  <si>
    <t>E23</t>
  </si>
  <si>
    <t>E24</t>
  </si>
  <si>
    <t>E17</t>
  </si>
  <si>
    <t>MEDIA</t>
  </si>
  <si>
    <t>Chl a</t>
  </si>
  <si>
    <t>MEDIA TOTAL</t>
  </si>
  <si>
    <t>CHLA satelital corregida</t>
  </si>
  <si>
    <t>modo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</si>
</sst>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"/>
    <numFmt numFmtId="165" formatCode="0.000"/>
    <numFmt numFmtId="166" formatCode="dd/mm/yy_)"/>
    <numFmt numFmtId="167" formatCode="0.000_)"/>
    <numFmt numFmtId="168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0"/>
      <name val="Times"/>
    </font>
    <font>
      <sz val="12"/>
      <color indexed="0"/>
      <name val="Times"/>
    </font>
    <font>
      <sz val="10"/>
      <color indexed="8"/>
      <name val="Arial"/>
    </font>
    <font>
      <sz val="11"/>
      <color indexed="8"/>
      <name val="Calibri"/>
      <charset val="16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164" fontId="2" fillId="0" borderId="0" xfId="0" applyNumberFormat="1" applyFont="1" applyFill="1" applyAlignment="1" applyProtection="1">
      <alignment horizontal="right"/>
    </xf>
    <xf numFmtId="0" fontId="2" fillId="0" borderId="0" xfId="0" applyFont="1" applyFill="1" applyAlignment="1" applyProtection="1"/>
    <xf numFmtId="164" fontId="2" fillId="0" borderId="0" xfId="0" applyNumberFormat="1" applyFont="1" applyFill="1" applyAlignment="1" applyProtection="1"/>
    <xf numFmtId="165" fontId="2" fillId="0" borderId="0" xfId="0" applyNumberFormat="1" applyFont="1" applyFill="1" applyAlignment="1" applyProtection="1"/>
    <xf numFmtId="0" fontId="2" fillId="0" borderId="0" xfId="0" applyFont="1" applyFill="1" applyAlignment="1" applyProtection="1">
      <alignment horizontal="center"/>
    </xf>
    <xf numFmtId="165" fontId="0" fillId="0" borderId="0" xfId="0" applyNumberFormat="1"/>
    <xf numFmtId="166" fontId="3" fillId="0" borderId="0" xfId="0" applyNumberFormat="1" applyFont="1" applyFill="1" applyAlignment="1" applyProtection="1"/>
    <xf numFmtId="167" fontId="3" fillId="0" borderId="0" xfId="0" applyNumberFormat="1" applyFont="1" applyFill="1" applyAlignment="1" applyProtection="1"/>
    <xf numFmtId="0" fontId="0" fillId="0" borderId="0" xfId="0" applyFill="1" applyAlignment="1" applyProtection="1"/>
    <xf numFmtId="166" fontId="3" fillId="2" borderId="0" xfId="0" applyNumberFormat="1" applyFont="1" applyFill="1" applyAlignment="1" applyProtection="1"/>
    <xf numFmtId="0" fontId="0" fillId="2" borderId="0" xfId="0" applyFill="1"/>
    <xf numFmtId="167" fontId="3" fillId="2" borderId="0" xfId="0" applyNumberFormat="1" applyFont="1" applyFill="1" applyAlignment="1" applyProtection="1"/>
    <xf numFmtId="165" fontId="0" fillId="2" borderId="0" xfId="0" applyNumberFormat="1" applyFill="1"/>
    <xf numFmtId="167" fontId="0" fillId="0" borderId="0" xfId="0" applyNumberFormat="1"/>
    <xf numFmtId="167" fontId="0" fillId="2" borderId="0" xfId="0" applyNumberFormat="1" applyFill="1"/>
    <xf numFmtId="0" fontId="0" fillId="0" borderId="0" xfId="0" applyAlignment="1">
      <alignment horizontal="left"/>
    </xf>
    <xf numFmtId="11" fontId="0" fillId="0" borderId="0" xfId="0" applyNumberFormat="1"/>
    <xf numFmtId="0" fontId="5" fillId="0" borderId="0" xfId="1" applyFont="1" applyFill="1" applyBorder="1" applyAlignment="1">
      <alignment horizontal="right" wrapText="1"/>
    </xf>
    <xf numFmtId="0" fontId="1" fillId="0" borderId="0" xfId="0" applyFont="1"/>
    <xf numFmtId="0" fontId="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/>
    <xf numFmtId="14" fontId="2" fillId="0" borderId="0" xfId="0" applyNumberFormat="1" applyFont="1" applyFill="1" applyAlignment="1" applyProtection="1">
      <alignment horizontal="right"/>
    </xf>
    <xf numFmtId="14" fontId="0" fillId="0" borderId="0" xfId="0" applyNumberFormat="1"/>
    <xf numFmtId="1" fontId="0" fillId="0" borderId="0" xfId="0" applyNumberFormat="1"/>
    <xf numFmtId="1" fontId="2" fillId="0" borderId="0" xfId="0" applyNumberFormat="1" applyFont="1" applyFill="1" applyAlignment="1" applyProtection="1">
      <alignment horizontal="center"/>
    </xf>
    <xf numFmtId="1" fontId="2" fillId="0" borderId="0" xfId="0" applyNumberFormat="1" applyFont="1" applyFill="1" applyAlignment="1" applyProtection="1"/>
  </cellXfs>
  <cellStyles count="2"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28"/>
  <sheetViews>
    <sheetView tabSelected="1" workbookViewId="0">
      <selection activeCell="N24" sqref="N24"/>
    </sheetView>
  </sheetViews>
  <sheetFormatPr baseColWidth="10" defaultRowHeight="14.4" x14ac:dyDescent="0.3"/>
  <cols>
    <col min="3" max="3" width="13.6640625" style="30" customWidth="1"/>
    <col min="4" max="7" width="5.6640625" customWidth="1"/>
    <col min="8" max="8" width="6.5546875" customWidth="1"/>
    <col min="9" max="12" width="5.6640625" customWidth="1"/>
  </cols>
  <sheetData>
    <row r="1" spans="1:13" x14ac:dyDescent="0.3">
      <c r="B1" t="s">
        <v>3</v>
      </c>
      <c r="D1" t="s">
        <v>17</v>
      </c>
    </row>
    <row r="2" spans="1:13" x14ac:dyDescent="0.3">
      <c r="B2" t="s">
        <v>16</v>
      </c>
      <c r="C2" s="30" t="s">
        <v>46</v>
      </c>
      <c r="D2" t="s">
        <v>0</v>
      </c>
      <c r="E2" t="s">
        <v>1</v>
      </c>
      <c r="F2" t="s">
        <v>2</v>
      </c>
      <c r="G2" t="s">
        <v>18</v>
      </c>
      <c r="H2" t="s">
        <v>21</v>
      </c>
      <c r="I2" t="s">
        <v>19</v>
      </c>
      <c r="J2" t="s">
        <v>20</v>
      </c>
      <c r="K2" t="s">
        <v>19</v>
      </c>
      <c r="L2" t="s">
        <v>20</v>
      </c>
    </row>
    <row r="3" spans="1:13" hidden="1" x14ac:dyDescent="0.3">
      <c r="A3" t="s">
        <v>4</v>
      </c>
      <c r="B3" s="1">
        <v>29971</v>
      </c>
      <c r="C3" s="31">
        <v>0</v>
      </c>
      <c r="D3" s="4">
        <v>0.52500000000000002</v>
      </c>
      <c r="E3" s="4">
        <v>0.63200000000000001</v>
      </c>
      <c r="F3" s="4">
        <v>0.80500000000000005</v>
      </c>
      <c r="G3" s="4">
        <v>0.41</v>
      </c>
      <c r="H3" s="4">
        <v>1</v>
      </c>
      <c r="I3" s="6">
        <f>+AVERAGE(D3:F3)</f>
        <v>0.65400000000000003</v>
      </c>
      <c r="J3">
        <f>+STDEV(D3:F3)/SQRT(3)</f>
        <v>8.1574097195943995E-2</v>
      </c>
      <c r="K3" s="6">
        <f>+AVERAGE(D3:F4)</f>
        <v>0.65066666666666673</v>
      </c>
      <c r="L3">
        <f>+STDEV(D3:F4)/SQRT(6)</f>
        <v>6.3254863668952527E-2</v>
      </c>
    </row>
    <row r="4" spans="1:13" x14ac:dyDescent="0.3">
      <c r="B4" s="1">
        <v>29971</v>
      </c>
      <c r="C4" s="5">
        <v>-9</v>
      </c>
      <c r="D4" s="4">
        <v>0.45</v>
      </c>
      <c r="E4" s="4">
        <v>0.64200000000000002</v>
      </c>
      <c r="F4" s="4">
        <v>0.85</v>
      </c>
      <c r="G4" s="4">
        <v>0.44</v>
      </c>
      <c r="H4" s="4">
        <v>1</v>
      </c>
      <c r="I4" s="6">
        <f t="shared" ref="I4:I26" si="0">+AVERAGE(D4:F4)</f>
        <v>0.64733333333333343</v>
      </c>
      <c r="J4">
        <f t="shared" ref="J4:J26" si="1">+STDEV(D4:F4)/SQRT(3)</f>
        <v>0.11550084174777436</v>
      </c>
    </row>
    <row r="5" spans="1:13" hidden="1" x14ac:dyDescent="0.3">
      <c r="A5" t="s">
        <v>5</v>
      </c>
      <c r="B5" s="1">
        <v>30001</v>
      </c>
      <c r="C5" s="31">
        <v>0</v>
      </c>
      <c r="D5" s="4">
        <v>0.247</v>
      </c>
      <c r="E5" s="4">
        <v>0.34600000000000003</v>
      </c>
      <c r="F5" s="4">
        <v>0.51200000000000001</v>
      </c>
      <c r="G5" s="4">
        <v>0.17100000000000001</v>
      </c>
      <c r="H5" s="4">
        <v>2</v>
      </c>
      <c r="I5" s="6">
        <f t="shared" si="0"/>
        <v>0.36833333333333335</v>
      </c>
      <c r="J5">
        <f t="shared" si="1"/>
        <v>7.7309622801936997E-2</v>
      </c>
      <c r="K5" s="6">
        <f>+AVERAGE(D5:F6)</f>
        <v>0.35516666666666669</v>
      </c>
      <c r="L5">
        <f>+STDEV(D5:F6)/SQRT(6)</f>
        <v>5.161874121328841E-2</v>
      </c>
    </row>
    <row r="6" spans="1:13" x14ac:dyDescent="0.3">
      <c r="B6" s="1">
        <v>30001</v>
      </c>
      <c r="C6" s="5">
        <v>-9</v>
      </c>
      <c r="D6" s="4">
        <v>0.17499999999999999</v>
      </c>
      <c r="E6" s="4">
        <v>0.45</v>
      </c>
      <c r="F6" s="4">
        <v>0.40100000000000002</v>
      </c>
      <c r="G6" s="4">
        <v>9.8000000000000004E-2</v>
      </c>
      <c r="H6" s="4">
        <v>2</v>
      </c>
      <c r="I6" s="6">
        <f t="shared" si="0"/>
        <v>0.34200000000000003</v>
      </c>
      <c r="J6">
        <f t="shared" si="1"/>
        <v>8.4689629432022767E-2</v>
      </c>
    </row>
    <row r="7" spans="1:13" hidden="1" x14ac:dyDescent="0.3">
      <c r="A7" t="s">
        <v>6</v>
      </c>
      <c r="B7" s="1">
        <v>30025</v>
      </c>
      <c r="C7" s="31">
        <v>0</v>
      </c>
      <c r="D7" s="4">
        <v>0.27800000000000002</v>
      </c>
      <c r="E7" s="4">
        <v>0.28600000000000003</v>
      </c>
      <c r="F7" s="4">
        <v>0.28899999999999998</v>
      </c>
      <c r="G7" s="4">
        <v>0.14799999999999999</v>
      </c>
      <c r="H7" s="4">
        <v>3</v>
      </c>
      <c r="I7" s="6">
        <f t="shared" si="0"/>
        <v>0.28433333333333333</v>
      </c>
      <c r="J7">
        <f t="shared" si="1"/>
        <v>3.282952600598691E-3</v>
      </c>
      <c r="K7" s="6">
        <f>+AVERAGE(D7:F8)</f>
        <v>0.25950000000000001</v>
      </c>
      <c r="L7">
        <f>+STDEV(D7:F8)/SQRT(6)</f>
        <v>2.5771754564509933E-2</v>
      </c>
    </row>
    <row r="8" spans="1:13" x14ac:dyDescent="0.3">
      <c r="B8" s="1">
        <v>30025</v>
      </c>
      <c r="C8" s="5">
        <v>-9</v>
      </c>
      <c r="D8" s="4">
        <v>0.15</v>
      </c>
      <c r="E8" s="4">
        <v>0.32900000000000001</v>
      </c>
      <c r="F8" s="4">
        <v>0.22500000000000001</v>
      </c>
      <c r="G8" s="4">
        <v>0.12</v>
      </c>
      <c r="H8" s="4">
        <v>3</v>
      </c>
      <c r="I8" s="6">
        <f t="shared" si="0"/>
        <v>0.23466666666666666</v>
      </c>
      <c r="J8">
        <f t="shared" si="1"/>
        <v>5.1898405027943274E-2</v>
      </c>
    </row>
    <row r="9" spans="1:13" hidden="1" x14ac:dyDescent="0.3">
      <c r="A9" t="s">
        <v>7</v>
      </c>
      <c r="B9" s="1">
        <v>29690</v>
      </c>
      <c r="C9" s="31">
        <v>0</v>
      </c>
      <c r="H9" s="4">
        <v>4</v>
      </c>
      <c r="I9" s="6"/>
      <c r="K9" s="4"/>
      <c r="L9" s="4"/>
      <c r="M9" s="4"/>
    </row>
    <row r="10" spans="1:13" x14ac:dyDescent="0.3">
      <c r="B10" s="1">
        <v>29690</v>
      </c>
      <c r="C10" s="5">
        <v>-9</v>
      </c>
      <c r="H10" s="4">
        <v>4</v>
      </c>
      <c r="I10" s="6"/>
      <c r="K10" s="4"/>
      <c r="L10" s="4"/>
      <c r="M10" s="4"/>
    </row>
    <row r="11" spans="1:13" hidden="1" x14ac:dyDescent="0.3">
      <c r="A11" t="s">
        <v>8</v>
      </c>
      <c r="B11" s="3">
        <v>29719</v>
      </c>
      <c r="C11" s="31">
        <v>0</v>
      </c>
      <c r="D11" s="4">
        <v>0.71</v>
      </c>
      <c r="E11" s="4">
        <v>0.73299999999999998</v>
      </c>
      <c r="F11" s="4">
        <v>0.68700000000000006</v>
      </c>
      <c r="G11" s="4">
        <v>0.22900000000000001</v>
      </c>
      <c r="H11" s="4">
        <v>5</v>
      </c>
      <c r="I11" s="6">
        <f t="shared" si="0"/>
        <v>0.71</v>
      </c>
      <c r="J11">
        <f t="shared" si="1"/>
        <v>1.3279056191361374E-2</v>
      </c>
      <c r="K11" s="6">
        <f>+AVERAGE(D11:F12)</f>
        <v>0.77883333333333338</v>
      </c>
      <c r="L11">
        <f>+STDEV(D11:F12)/SQRT(6)</f>
        <v>6.027073179505224E-2</v>
      </c>
      <c r="M11" s="4"/>
    </row>
    <row r="12" spans="1:13" x14ac:dyDescent="0.3">
      <c r="B12" s="3">
        <v>29719</v>
      </c>
      <c r="C12" s="5">
        <v>-9</v>
      </c>
      <c r="D12" s="4">
        <v>0.61899999999999999</v>
      </c>
      <c r="E12" s="4">
        <v>0.93900000000000006</v>
      </c>
      <c r="F12" s="4">
        <v>0.98499999999999999</v>
      </c>
      <c r="G12" s="4">
        <v>0.22900000000000001</v>
      </c>
      <c r="H12" s="4">
        <v>5</v>
      </c>
      <c r="I12" s="6">
        <f t="shared" si="0"/>
        <v>0.84766666666666668</v>
      </c>
      <c r="J12">
        <f t="shared" si="1"/>
        <v>0.11510188723233183</v>
      </c>
      <c r="K12" s="4"/>
      <c r="L12" s="4"/>
      <c r="M12" s="4"/>
    </row>
    <row r="13" spans="1:13" hidden="1" x14ac:dyDescent="0.3">
      <c r="A13" t="s">
        <v>9</v>
      </c>
      <c r="B13" s="1">
        <v>29753</v>
      </c>
      <c r="C13" s="31">
        <v>0</v>
      </c>
      <c r="D13" s="4"/>
      <c r="E13" s="4">
        <v>1.2549999999999999</v>
      </c>
      <c r="F13" s="4">
        <v>0.69499999999999995</v>
      </c>
      <c r="G13" s="4"/>
      <c r="H13" s="4">
        <v>6</v>
      </c>
      <c r="I13" s="6">
        <f t="shared" si="0"/>
        <v>0.97499999999999987</v>
      </c>
      <c r="J13">
        <f t="shared" si="1"/>
        <v>0.22861904265976349</v>
      </c>
      <c r="K13" s="6">
        <f>+AVERAGE(D13:F14)</f>
        <v>1.0854999999999999</v>
      </c>
      <c r="L13">
        <f>+STDEV(D13:F14)/SQRT(6)</f>
        <v>0.16675880786333314</v>
      </c>
      <c r="M13" s="4"/>
    </row>
    <row r="14" spans="1:13" x14ac:dyDescent="0.3">
      <c r="B14" s="1">
        <v>29753</v>
      </c>
      <c r="C14" s="5">
        <v>-9</v>
      </c>
      <c r="D14" s="4"/>
      <c r="E14" s="4">
        <v>1.58</v>
      </c>
      <c r="F14" s="4">
        <v>0.81200000000000006</v>
      </c>
      <c r="G14" s="4"/>
      <c r="H14" s="4">
        <v>6</v>
      </c>
      <c r="I14" s="6">
        <f t="shared" si="0"/>
        <v>1.1960000000000002</v>
      </c>
      <c r="J14">
        <f t="shared" si="1"/>
        <v>0.3135346870762466</v>
      </c>
      <c r="K14" s="4"/>
      <c r="L14" s="4"/>
      <c r="M14" s="4"/>
    </row>
    <row r="15" spans="1:13" hidden="1" x14ac:dyDescent="0.3">
      <c r="A15" t="s">
        <v>10</v>
      </c>
      <c r="B15" s="3">
        <v>29789</v>
      </c>
      <c r="C15" s="31">
        <v>0</v>
      </c>
      <c r="D15" s="4">
        <v>0.217</v>
      </c>
      <c r="E15" s="4">
        <v>0.25</v>
      </c>
      <c r="F15" s="4">
        <v>0.44400000000000001</v>
      </c>
      <c r="G15" s="4"/>
      <c r="H15" s="4">
        <v>7</v>
      </c>
      <c r="I15" s="6">
        <f t="shared" si="0"/>
        <v>0.3036666666666667</v>
      </c>
      <c r="J15">
        <f t="shared" si="1"/>
        <v>7.0810388440617378E-2</v>
      </c>
      <c r="K15" s="6">
        <f>+AVERAGE(D15:F16)</f>
        <v>0.34</v>
      </c>
      <c r="L15">
        <f>+STDEV(D15:F16)/SQRT(6)</f>
        <v>5.9128673247418613E-2</v>
      </c>
    </row>
    <row r="16" spans="1:13" x14ac:dyDescent="0.3">
      <c r="B16" s="3">
        <v>29789</v>
      </c>
      <c r="C16" s="5">
        <v>-9</v>
      </c>
      <c r="D16" s="4">
        <v>0.3</v>
      </c>
      <c r="E16" s="4">
        <v>0.24399999999999999</v>
      </c>
      <c r="F16" s="4">
        <v>0.58499999999999996</v>
      </c>
      <c r="G16" s="4"/>
      <c r="H16" s="4">
        <v>7</v>
      </c>
      <c r="I16" s="6">
        <f t="shared" si="0"/>
        <v>0.37633333333333335</v>
      </c>
      <c r="J16">
        <f t="shared" si="1"/>
        <v>0.10557830164279862</v>
      </c>
    </row>
    <row r="17" spans="1:12" hidden="1" x14ac:dyDescent="0.3">
      <c r="A17" t="s">
        <v>11</v>
      </c>
      <c r="B17" s="28">
        <v>29799</v>
      </c>
      <c r="C17" s="31">
        <v>0</v>
      </c>
      <c r="D17" s="4"/>
      <c r="E17" s="4"/>
      <c r="F17" s="4"/>
      <c r="G17" s="4"/>
      <c r="H17" s="4">
        <v>8</v>
      </c>
      <c r="I17" s="6"/>
    </row>
    <row r="18" spans="1:12" x14ac:dyDescent="0.3">
      <c r="B18" s="28">
        <v>29799</v>
      </c>
      <c r="C18" s="5">
        <v>-9</v>
      </c>
      <c r="D18" s="4"/>
      <c r="E18" s="4"/>
      <c r="F18" s="4"/>
      <c r="G18" s="4"/>
      <c r="H18" s="4">
        <v>8</v>
      </c>
      <c r="I18" s="6"/>
    </row>
    <row r="19" spans="1:12" hidden="1" x14ac:dyDescent="0.3">
      <c r="A19" t="s">
        <v>12</v>
      </c>
      <c r="B19" s="3">
        <v>29854</v>
      </c>
      <c r="C19" s="31">
        <v>0</v>
      </c>
      <c r="D19" s="4">
        <v>0.312</v>
      </c>
      <c r="E19" s="4">
        <v>0.49099999999999999</v>
      </c>
      <c r="F19" s="4">
        <v>0.55700000000000005</v>
      </c>
      <c r="G19" s="4">
        <v>2.4E-2</v>
      </c>
      <c r="H19" s="4">
        <v>9</v>
      </c>
      <c r="I19" s="6">
        <f t="shared" si="0"/>
        <v>0.45333333333333331</v>
      </c>
      <c r="J19">
        <f t="shared" si="1"/>
        <v>7.3190011461795698E-2</v>
      </c>
      <c r="K19" s="6">
        <f>+AVERAGE(D19:F20)</f>
        <v>0.43599999999999994</v>
      </c>
      <c r="L19">
        <f>+STDEV(D19:F20)/SQRT(6)</f>
        <v>4.1624512009151654E-2</v>
      </c>
    </row>
    <row r="20" spans="1:12" x14ac:dyDescent="0.3">
      <c r="B20" s="3">
        <v>29854</v>
      </c>
      <c r="C20" s="5">
        <v>-9</v>
      </c>
      <c r="D20" s="4">
        <v>0.45</v>
      </c>
      <c r="E20" s="4">
        <v>0.312</v>
      </c>
      <c r="F20" s="4">
        <v>0.49399999999999999</v>
      </c>
      <c r="G20" s="4">
        <v>0.11900000000000001</v>
      </c>
      <c r="H20" s="4">
        <v>9</v>
      </c>
      <c r="I20" s="6">
        <f t="shared" si="0"/>
        <v>0.41866666666666669</v>
      </c>
      <c r="J20">
        <f t="shared" si="1"/>
        <v>5.4824974033534882E-2</v>
      </c>
    </row>
    <row r="21" spans="1:12" hidden="1" x14ac:dyDescent="0.3">
      <c r="A21" t="s">
        <v>13</v>
      </c>
      <c r="B21" s="3">
        <v>29879</v>
      </c>
      <c r="C21" s="31">
        <v>0</v>
      </c>
      <c r="D21" s="4">
        <v>0.51900000000000002</v>
      </c>
      <c r="E21" s="4">
        <v>0.89500000000000002</v>
      </c>
      <c r="F21" s="4">
        <v>1.0900000000000001</v>
      </c>
      <c r="G21" s="4">
        <v>0.15</v>
      </c>
      <c r="H21" s="4">
        <v>10</v>
      </c>
      <c r="I21" s="6">
        <f t="shared" si="0"/>
        <v>0.83466666666666678</v>
      </c>
      <c r="J21">
        <f t="shared" si="1"/>
        <v>0.16757121205956316</v>
      </c>
      <c r="K21" s="6">
        <f>+AVERAGE(D21:F22)</f>
        <v>0.78800000000000014</v>
      </c>
      <c r="L21">
        <f>+STDEV(D21:F22)/SQRT(6)</f>
        <v>0.11542789957371645</v>
      </c>
    </row>
    <row r="22" spans="1:12" x14ac:dyDescent="0.3">
      <c r="B22" s="3">
        <v>29879</v>
      </c>
      <c r="C22" s="5">
        <v>-9</v>
      </c>
      <c r="D22" s="4">
        <v>0.53100000000000003</v>
      </c>
      <c r="E22" s="4">
        <v>0.57100000000000006</v>
      </c>
      <c r="F22" s="4">
        <v>1.1220000000000001</v>
      </c>
      <c r="G22" s="4">
        <v>7.6999999999999999E-2</v>
      </c>
      <c r="H22" s="4">
        <v>10</v>
      </c>
      <c r="I22" s="6">
        <f t="shared" si="0"/>
        <v>0.7413333333333334</v>
      </c>
      <c r="J22">
        <f t="shared" si="1"/>
        <v>0.19068327433498491</v>
      </c>
    </row>
    <row r="23" spans="1:12" hidden="1" x14ac:dyDescent="0.3">
      <c r="A23" t="s">
        <v>14</v>
      </c>
      <c r="B23" s="3">
        <v>29908</v>
      </c>
      <c r="C23" s="31">
        <v>0</v>
      </c>
      <c r="D23" s="4">
        <v>0.59499999999999997</v>
      </c>
      <c r="E23" s="4">
        <v>0.77600000000000002</v>
      </c>
      <c r="F23" s="4">
        <v>0.58199999999999996</v>
      </c>
      <c r="G23" s="4">
        <v>0.22</v>
      </c>
      <c r="H23" s="4">
        <v>11</v>
      </c>
      <c r="I23" s="6">
        <f t="shared" si="0"/>
        <v>0.65099999999999991</v>
      </c>
      <c r="J23">
        <f t="shared" si="1"/>
        <v>6.261256529909455E-2</v>
      </c>
      <c r="K23" s="6">
        <f>+AVERAGE(D23:F24)</f>
        <v>0.62383333333333335</v>
      </c>
      <c r="L23">
        <f>+STDEV(D23:F24)/SQRT(6)</f>
        <v>4.1335551015775636E-2</v>
      </c>
    </row>
    <row r="24" spans="1:12" x14ac:dyDescent="0.3">
      <c r="B24" s="3">
        <v>29908</v>
      </c>
      <c r="C24" s="5">
        <v>-9</v>
      </c>
      <c r="D24" s="4">
        <v>0.47499999999999998</v>
      </c>
      <c r="E24" s="4">
        <v>0.63400000000000001</v>
      </c>
      <c r="F24" s="4">
        <v>0.68100000000000005</v>
      </c>
      <c r="G24" s="4">
        <v>0.193</v>
      </c>
      <c r="H24" s="4">
        <v>11</v>
      </c>
      <c r="I24" s="6">
        <f t="shared" si="0"/>
        <v>0.59666666666666668</v>
      </c>
      <c r="J24">
        <f t="shared" si="1"/>
        <v>6.2327985510344984E-2</v>
      </c>
    </row>
    <row r="25" spans="1:12" hidden="1" x14ac:dyDescent="0.3">
      <c r="A25" t="s">
        <v>15</v>
      </c>
      <c r="B25" s="3">
        <v>29937</v>
      </c>
      <c r="C25" s="31">
        <v>0</v>
      </c>
      <c r="D25" s="4">
        <v>1.238</v>
      </c>
      <c r="E25" s="4">
        <v>0.65800000000000003</v>
      </c>
      <c r="F25" s="4">
        <v>0.376</v>
      </c>
      <c r="G25" s="4">
        <v>0.51200000000000001</v>
      </c>
      <c r="H25" s="4">
        <v>12</v>
      </c>
      <c r="I25" s="6">
        <f t="shared" si="0"/>
        <v>0.7573333333333333</v>
      </c>
      <c r="J25">
        <f t="shared" si="1"/>
        <v>0.25374615486960822</v>
      </c>
      <c r="K25" s="6">
        <f>+AVERAGE(D25:F26)</f>
        <v>0.60383333333333333</v>
      </c>
      <c r="L25">
        <f>+STDEV(D25:F26)/SQRT(6)</f>
        <v>0.14047097367230157</v>
      </c>
    </row>
    <row r="26" spans="1:12" x14ac:dyDescent="0.3">
      <c r="B26" s="3">
        <v>29937</v>
      </c>
      <c r="C26" s="5">
        <v>-9</v>
      </c>
      <c r="D26" s="4">
        <v>0.33700000000000002</v>
      </c>
      <c r="E26" s="4">
        <v>0.65700000000000003</v>
      </c>
      <c r="F26" s="4">
        <v>0.35699999999999998</v>
      </c>
      <c r="G26" s="4">
        <v>0.48799999999999999</v>
      </c>
      <c r="H26" s="4">
        <v>12</v>
      </c>
      <c r="I26" s="6">
        <f t="shared" si="0"/>
        <v>0.45033333333333331</v>
      </c>
      <c r="J26">
        <f t="shared" si="1"/>
        <v>0.10349449797506695</v>
      </c>
    </row>
    <row r="27" spans="1:12" x14ac:dyDescent="0.3">
      <c r="B27" s="2"/>
      <c r="C27" s="32"/>
      <c r="D27" s="2"/>
      <c r="E27" s="4"/>
      <c r="F27" s="4"/>
      <c r="G27" s="4"/>
    </row>
    <row r="28" spans="1:12" x14ac:dyDescent="0.3">
      <c r="A28" t="s">
        <v>30</v>
      </c>
      <c r="B28">
        <f>+COUNT(B3:B25)</f>
        <v>23</v>
      </c>
    </row>
  </sheetData>
  <autoFilter ref="A2:M26">
    <filterColumn colId="2">
      <filters>
        <filter val="F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0"/>
  <sheetViews>
    <sheetView workbookViewId="0">
      <selection activeCell="A27" sqref="A27"/>
    </sheetView>
  </sheetViews>
  <sheetFormatPr baseColWidth="10" defaultRowHeight="14.4" x14ac:dyDescent="0.3"/>
  <sheetData>
    <row r="1" spans="1:10" x14ac:dyDescent="0.3">
      <c r="A1" t="s">
        <v>28</v>
      </c>
      <c r="E1" t="s">
        <v>27</v>
      </c>
    </row>
    <row r="2" spans="1:10" x14ac:dyDescent="0.3">
      <c r="A2" t="s">
        <v>22</v>
      </c>
      <c r="B2" t="s">
        <v>21</v>
      </c>
      <c r="C2" t="s">
        <v>31</v>
      </c>
      <c r="D2" t="s">
        <v>20</v>
      </c>
      <c r="E2" t="s">
        <v>23</v>
      </c>
      <c r="F2" t="s">
        <v>24</v>
      </c>
      <c r="G2" t="s">
        <v>25</v>
      </c>
      <c r="H2" t="s">
        <v>26</v>
      </c>
      <c r="I2" t="s">
        <v>19</v>
      </c>
      <c r="J2" t="s">
        <v>20</v>
      </c>
    </row>
    <row r="3" spans="1:10" ht="15.6" x14ac:dyDescent="0.3">
      <c r="A3" s="7">
        <v>32885</v>
      </c>
      <c r="B3">
        <v>1</v>
      </c>
      <c r="C3" s="14">
        <f>+AVERAGE(E3:H11)</f>
        <v>0.23091176470588234</v>
      </c>
      <c r="D3">
        <f>+STDEV(E3:H11)/SQRT(36)</f>
        <v>1.8952908487790566E-2</v>
      </c>
      <c r="E3" s="8"/>
      <c r="F3" s="8"/>
      <c r="G3" s="8">
        <v>7.9000000000000001E-2</v>
      </c>
      <c r="H3" s="8">
        <v>7.9000000000000001E-2</v>
      </c>
      <c r="I3" s="6">
        <f>+AVERAGE(E3:H3)</f>
        <v>7.9000000000000001E-2</v>
      </c>
      <c r="J3">
        <f>+STDEV(E3:H3)/SQRT(4)</f>
        <v>0</v>
      </c>
    </row>
    <row r="4" spans="1:10" ht="15.6" x14ac:dyDescent="0.3">
      <c r="A4" s="7">
        <v>32898</v>
      </c>
      <c r="B4">
        <v>1</v>
      </c>
      <c r="E4" s="8">
        <v>0.159</v>
      </c>
      <c r="F4" s="8">
        <v>7.9000000000000001E-2</v>
      </c>
      <c r="G4" s="8">
        <v>0.11900000000000001</v>
      </c>
      <c r="H4" s="8">
        <v>7.9000000000000001E-2</v>
      </c>
      <c r="I4" s="6">
        <f t="shared" ref="I4:I67" si="0">+AVERAGE(E4:H4)</f>
        <v>0.109</v>
      </c>
      <c r="J4">
        <f t="shared" ref="J4:J67" si="1">+STDEV(E4:H4)/SQRT(4)</f>
        <v>1.9148542155126767E-2</v>
      </c>
    </row>
    <row r="5" spans="1:10" ht="15.6" x14ac:dyDescent="0.3">
      <c r="A5" s="7">
        <v>33241</v>
      </c>
      <c r="B5">
        <v>1</v>
      </c>
      <c r="E5" s="8">
        <v>0.46500000000000002</v>
      </c>
      <c r="F5" s="8">
        <v>0.40300000000000002</v>
      </c>
      <c r="G5" s="8">
        <v>0.313</v>
      </c>
      <c r="H5" s="8">
        <v>0.23900000000000002</v>
      </c>
      <c r="I5" s="6">
        <f t="shared" si="0"/>
        <v>0.35500000000000004</v>
      </c>
      <c r="J5">
        <f t="shared" si="1"/>
        <v>4.9685678687793486E-2</v>
      </c>
    </row>
    <row r="6" spans="1:10" ht="15.6" x14ac:dyDescent="0.3">
      <c r="A6" s="7">
        <v>33254</v>
      </c>
      <c r="B6">
        <v>1</v>
      </c>
      <c r="E6" s="8">
        <v>0.126</v>
      </c>
      <c r="F6" s="8">
        <v>0.255</v>
      </c>
      <c r="G6" s="8">
        <v>0.27400000000000002</v>
      </c>
      <c r="H6" s="8">
        <v>0.2</v>
      </c>
      <c r="I6" s="6">
        <f t="shared" si="0"/>
        <v>0.21375</v>
      </c>
      <c r="J6">
        <f t="shared" si="1"/>
        <v>3.319230583533888E-2</v>
      </c>
    </row>
    <row r="7" spans="1:10" ht="15.6" x14ac:dyDescent="0.3">
      <c r="A7" s="7">
        <v>33268</v>
      </c>
      <c r="B7">
        <v>1</v>
      </c>
      <c r="E7" s="8">
        <v>0.48099999999999998</v>
      </c>
      <c r="F7" s="8">
        <v>0.223</v>
      </c>
      <c r="G7" s="8">
        <v>0.51900000000000002</v>
      </c>
      <c r="H7" s="8">
        <v>0.371</v>
      </c>
      <c r="I7" s="6">
        <f t="shared" si="0"/>
        <v>0.39849999999999997</v>
      </c>
      <c r="J7">
        <f t="shared" si="1"/>
        <v>6.638461167067769E-2</v>
      </c>
    </row>
    <row r="8" spans="1:10" ht="15.6" x14ac:dyDescent="0.3">
      <c r="A8" s="7">
        <v>33611</v>
      </c>
      <c r="B8">
        <v>1</v>
      </c>
      <c r="E8" s="8">
        <v>0.20300000000000001</v>
      </c>
      <c r="F8" s="8">
        <v>0.17599999999999999</v>
      </c>
      <c r="G8" s="8">
        <v>0.21299999999999999</v>
      </c>
      <c r="H8" s="8">
        <v>0.14799999999999999</v>
      </c>
      <c r="I8" s="6">
        <f t="shared" si="0"/>
        <v>0.185</v>
      </c>
      <c r="J8">
        <f t="shared" si="1"/>
        <v>1.4600228308717197E-2</v>
      </c>
    </row>
    <row r="9" spans="1:10" ht="15.6" x14ac:dyDescent="0.3">
      <c r="A9" s="7">
        <v>33618</v>
      </c>
      <c r="B9">
        <v>1</v>
      </c>
      <c r="E9" s="8">
        <v>0.16700000000000001</v>
      </c>
      <c r="F9" s="8">
        <v>0.152</v>
      </c>
      <c r="G9" s="8">
        <v>0.186</v>
      </c>
      <c r="H9" s="8">
        <v>0.24199999999999999</v>
      </c>
      <c r="I9" s="6">
        <f t="shared" si="0"/>
        <v>0.18675</v>
      </c>
      <c r="J9">
        <f t="shared" si="1"/>
        <v>1.9686607122610049E-2</v>
      </c>
    </row>
    <row r="10" spans="1:10" ht="15.6" x14ac:dyDescent="0.3">
      <c r="A10" s="7">
        <v>33625</v>
      </c>
      <c r="B10">
        <v>1</v>
      </c>
      <c r="E10" s="8">
        <v>0.27800000000000002</v>
      </c>
      <c r="F10" s="8">
        <v>0.20200000000000001</v>
      </c>
      <c r="G10" s="8">
        <v>0.20400000000000001</v>
      </c>
      <c r="H10" s="8">
        <v>0.158</v>
      </c>
      <c r="I10" s="6">
        <f t="shared" si="0"/>
        <v>0.21050000000000002</v>
      </c>
      <c r="J10">
        <f t="shared" si="1"/>
        <v>2.4878035828149056E-2</v>
      </c>
    </row>
    <row r="11" spans="1:10" ht="15.6" x14ac:dyDescent="0.3">
      <c r="A11" s="7">
        <v>32903</v>
      </c>
      <c r="B11">
        <v>1</v>
      </c>
      <c r="E11" s="8">
        <v>0.30399999999999999</v>
      </c>
      <c r="F11" s="8">
        <v>0.253</v>
      </c>
      <c r="G11" s="8">
        <v>0.193</v>
      </c>
      <c r="H11" s="8">
        <v>0.309</v>
      </c>
      <c r="I11" s="6">
        <f t="shared" si="0"/>
        <v>0.26474999999999999</v>
      </c>
      <c r="J11">
        <f t="shared" si="1"/>
        <v>2.7056653525519385E-2</v>
      </c>
    </row>
    <row r="12" spans="1:10" ht="15.6" x14ac:dyDescent="0.3">
      <c r="A12" s="7">
        <v>32911</v>
      </c>
      <c r="B12">
        <v>2</v>
      </c>
      <c r="C12" s="14">
        <f>+AVERAGE(E12:H18)</f>
        <v>0.25766666666666665</v>
      </c>
      <c r="D12">
        <f>+STDEV(E12:H18)/SQRT(32)</f>
        <v>2.1641261582878005E-2</v>
      </c>
      <c r="E12" s="8">
        <v>0.11900000000000001</v>
      </c>
      <c r="F12" s="8">
        <v>9.9000000000000005E-2</v>
      </c>
      <c r="G12" s="8">
        <v>0</v>
      </c>
      <c r="H12" s="8">
        <v>7.9000000000000001E-2</v>
      </c>
      <c r="I12" s="6">
        <f t="shared" si="0"/>
        <v>7.425000000000001E-2</v>
      </c>
      <c r="J12">
        <f t="shared" si="1"/>
        <v>2.6062025375374543E-2</v>
      </c>
    </row>
    <row r="13" spans="1:10" ht="15.6" x14ac:dyDescent="0.3">
      <c r="A13" s="7">
        <v>32925</v>
      </c>
      <c r="B13">
        <v>2</v>
      </c>
      <c r="E13" s="9"/>
      <c r="F13" s="9"/>
      <c r="G13" s="9"/>
      <c r="H13" s="9"/>
      <c r="I13" s="6"/>
    </row>
    <row r="14" spans="1:10" ht="15.6" x14ac:dyDescent="0.3">
      <c r="A14" s="7">
        <v>33283</v>
      </c>
      <c r="B14">
        <v>2</v>
      </c>
      <c r="E14" s="8">
        <v>0.2</v>
      </c>
      <c r="F14" s="8">
        <v>0.223</v>
      </c>
      <c r="G14" s="8">
        <v>0.14899999999999999</v>
      </c>
      <c r="H14" s="8">
        <v>0.14899999999999999</v>
      </c>
      <c r="I14" s="6">
        <f t="shared" si="0"/>
        <v>0.18025000000000002</v>
      </c>
      <c r="J14">
        <f t="shared" si="1"/>
        <v>1.86430281875021E-2</v>
      </c>
    </row>
    <row r="15" spans="1:10" ht="15.6" x14ac:dyDescent="0.3">
      <c r="A15" s="7">
        <v>33297</v>
      </c>
      <c r="B15">
        <v>2</v>
      </c>
      <c r="E15" s="8">
        <v>0.24199999999999999</v>
      </c>
      <c r="F15" s="8">
        <v>0.33200000000000002</v>
      </c>
      <c r="G15" s="8">
        <v>0.35199999999999998</v>
      </c>
      <c r="H15" s="8">
        <v>0.23900000000000002</v>
      </c>
      <c r="I15" s="6">
        <f t="shared" si="0"/>
        <v>0.29125000000000001</v>
      </c>
      <c r="J15">
        <f t="shared" si="1"/>
        <v>2.958990537328568E-2</v>
      </c>
    </row>
    <row r="16" spans="1:10" ht="15.6" x14ac:dyDescent="0.3">
      <c r="A16" s="7">
        <v>33639</v>
      </c>
      <c r="B16">
        <v>2</v>
      </c>
      <c r="E16" s="8">
        <v>0.27900000000000003</v>
      </c>
      <c r="F16" s="8">
        <v>0.52300000000000002</v>
      </c>
      <c r="G16" s="8">
        <v>0.38900000000000001</v>
      </c>
      <c r="H16" s="8">
        <v>0.38900000000000001</v>
      </c>
      <c r="I16" s="6">
        <f t="shared" si="0"/>
        <v>0.39500000000000002</v>
      </c>
      <c r="J16">
        <f t="shared" si="1"/>
        <v>4.9926612809869958E-2</v>
      </c>
    </row>
    <row r="17" spans="1:10" ht="15.6" x14ac:dyDescent="0.3">
      <c r="A17" s="7">
        <v>33646</v>
      </c>
      <c r="B17">
        <v>2</v>
      </c>
      <c r="E17" s="8">
        <v>0.33700000000000002</v>
      </c>
      <c r="F17" s="8">
        <v>0.23100000000000001</v>
      </c>
      <c r="G17" s="8">
        <v>0.17100000000000001</v>
      </c>
      <c r="H17" s="8">
        <v>0.26800000000000002</v>
      </c>
      <c r="I17" s="6">
        <f t="shared" si="0"/>
        <v>0.25175000000000003</v>
      </c>
      <c r="J17">
        <f t="shared" si="1"/>
        <v>3.4740406349571276E-2</v>
      </c>
    </row>
    <row r="18" spans="1:10" ht="15.6" x14ac:dyDescent="0.3">
      <c r="A18" s="7">
        <v>33660</v>
      </c>
      <c r="B18">
        <v>2</v>
      </c>
      <c r="E18" s="8">
        <v>0.38400000000000001</v>
      </c>
      <c r="F18" s="8">
        <v>0.36599999999999999</v>
      </c>
      <c r="G18" s="8">
        <v>0.33900000000000002</v>
      </c>
      <c r="H18" s="8">
        <v>0.32500000000000001</v>
      </c>
      <c r="I18" s="6">
        <f t="shared" si="0"/>
        <v>0.35349999999999998</v>
      </c>
      <c r="J18">
        <f t="shared" si="1"/>
        <v>1.3257073583562849E-2</v>
      </c>
    </row>
    <row r="19" spans="1:10" ht="15.6" x14ac:dyDescent="0.3">
      <c r="A19" s="7">
        <v>32939</v>
      </c>
      <c r="B19">
        <v>3</v>
      </c>
      <c r="C19" s="14">
        <f>+AVERAGE(E19:H28)</f>
        <v>0.32628125000000002</v>
      </c>
      <c r="D19">
        <f>+STDEV(E19:H28)/SQRT(40)</f>
        <v>1.6070471537685135E-2</v>
      </c>
      <c r="E19" s="9"/>
      <c r="F19" s="9"/>
      <c r="G19" s="9"/>
      <c r="H19" s="9"/>
      <c r="I19" s="6"/>
    </row>
    <row r="20" spans="1:10" ht="15.6" x14ac:dyDescent="0.3">
      <c r="A20" s="7">
        <v>32953</v>
      </c>
      <c r="B20">
        <v>3</v>
      </c>
      <c r="E20" s="9"/>
      <c r="F20" s="9"/>
      <c r="G20" s="9"/>
      <c r="H20" s="9"/>
      <c r="I20" s="6"/>
    </row>
    <row r="21" spans="1:10" ht="15.6" x14ac:dyDescent="0.3">
      <c r="A21" s="7">
        <v>33303</v>
      </c>
      <c r="B21">
        <v>3</v>
      </c>
      <c r="E21" s="8">
        <v>0.23499999999999999</v>
      </c>
      <c r="F21" s="8">
        <v>0.313</v>
      </c>
      <c r="G21" s="8">
        <v>0.309</v>
      </c>
      <c r="H21" s="8">
        <v>0.20300000000000001</v>
      </c>
      <c r="I21" s="6">
        <f t="shared" si="0"/>
        <v>0.26500000000000001</v>
      </c>
      <c r="J21">
        <f t="shared" si="1"/>
        <v>2.7361773821641414E-2</v>
      </c>
    </row>
    <row r="22" spans="1:10" ht="15.6" x14ac:dyDescent="0.3">
      <c r="A22" s="7">
        <v>33312</v>
      </c>
      <c r="B22">
        <v>3</v>
      </c>
      <c r="E22" s="8">
        <v>0.309</v>
      </c>
      <c r="F22" s="8">
        <v>0.38700000000000001</v>
      </c>
      <c r="G22" s="8">
        <v>0.32500000000000001</v>
      </c>
      <c r="H22" s="8">
        <v>0.52800000000000002</v>
      </c>
      <c r="I22" s="6">
        <f t="shared" si="0"/>
        <v>0.38724999999999998</v>
      </c>
      <c r="J22">
        <f t="shared" si="1"/>
        <v>4.9840370183216069E-2</v>
      </c>
    </row>
    <row r="23" spans="1:10" ht="15.6" x14ac:dyDescent="0.3">
      <c r="A23" s="7">
        <v>33317</v>
      </c>
      <c r="B23">
        <v>3</v>
      </c>
      <c r="E23" s="8">
        <v>0.27400000000000002</v>
      </c>
      <c r="F23" s="8">
        <v>0.26100000000000001</v>
      </c>
      <c r="G23" s="8">
        <v>0.16400000000000001</v>
      </c>
      <c r="H23" s="8">
        <v>0.24199999999999999</v>
      </c>
      <c r="I23" s="6">
        <f t="shared" si="0"/>
        <v>0.23525000000000001</v>
      </c>
      <c r="J23">
        <f t="shared" si="1"/>
        <v>2.464202034466061E-2</v>
      </c>
    </row>
    <row r="24" spans="1:10" ht="15.6" x14ac:dyDescent="0.3">
      <c r="A24" s="7">
        <v>33324</v>
      </c>
      <c r="B24">
        <v>3</v>
      </c>
      <c r="E24" s="8">
        <v>0.26100000000000001</v>
      </c>
      <c r="F24" s="8">
        <v>0.184</v>
      </c>
      <c r="G24" s="8">
        <v>0.20300000000000001</v>
      </c>
      <c r="H24" s="8">
        <v>0.223</v>
      </c>
      <c r="I24" s="6">
        <f t="shared" si="0"/>
        <v>0.21775</v>
      </c>
      <c r="J24">
        <f t="shared" si="1"/>
        <v>1.6469036604084247E-2</v>
      </c>
    </row>
    <row r="25" spans="1:10" ht="15.6" x14ac:dyDescent="0.3">
      <c r="A25" s="7">
        <v>33668</v>
      </c>
      <c r="B25">
        <v>3</v>
      </c>
      <c r="E25" s="8">
        <v>0.27900000000000003</v>
      </c>
      <c r="F25" s="8">
        <v>0.52300000000000002</v>
      </c>
      <c r="G25" s="8">
        <v>0.38900000000000001</v>
      </c>
      <c r="H25" s="8">
        <v>0.38900000000000001</v>
      </c>
      <c r="I25" s="6">
        <f t="shared" si="0"/>
        <v>0.39500000000000002</v>
      </c>
      <c r="J25">
        <f t="shared" si="1"/>
        <v>4.9926612809869958E-2</v>
      </c>
    </row>
    <row r="26" spans="1:10" ht="15.6" x14ac:dyDescent="0.3">
      <c r="A26" s="7">
        <v>33674</v>
      </c>
      <c r="B26">
        <v>3</v>
      </c>
      <c r="E26" s="8">
        <v>0.3</v>
      </c>
      <c r="F26" s="8">
        <v>0.39200000000000002</v>
      </c>
      <c r="G26" s="8">
        <v>0.28300000000000003</v>
      </c>
      <c r="H26" s="8">
        <v>0.30099999999999999</v>
      </c>
      <c r="I26" s="6">
        <f t="shared" si="0"/>
        <v>0.31900000000000001</v>
      </c>
      <c r="J26">
        <f t="shared" si="1"/>
        <v>2.4681301964577757E-2</v>
      </c>
    </row>
    <row r="27" spans="1:10" ht="15.6" x14ac:dyDescent="0.3">
      <c r="A27" s="7">
        <v>33681</v>
      </c>
      <c r="B27">
        <v>3</v>
      </c>
      <c r="E27" s="8">
        <v>0.36199999999999999</v>
      </c>
      <c r="F27" s="8">
        <v>0.27200000000000002</v>
      </c>
      <c r="G27" s="8">
        <v>0.36099999999999999</v>
      </c>
      <c r="H27" s="8">
        <v>0.34499999999999997</v>
      </c>
      <c r="I27" s="6">
        <f t="shared" si="0"/>
        <v>0.33499999999999996</v>
      </c>
      <c r="J27">
        <f t="shared" si="1"/>
        <v>2.1358058588426855E-2</v>
      </c>
    </row>
    <row r="28" spans="1:10" ht="15.6" x14ac:dyDescent="0.3">
      <c r="A28" s="7">
        <v>33688</v>
      </c>
      <c r="B28">
        <v>3</v>
      </c>
      <c r="E28" s="8">
        <v>0.54600000000000004</v>
      </c>
      <c r="F28" s="8">
        <v>0.37</v>
      </c>
      <c r="G28" s="8">
        <v>0.54300000000000004</v>
      </c>
      <c r="H28" s="8">
        <v>0.36499999999999999</v>
      </c>
      <c r="I28" s="6">
        <f t="shared" si="0"/>
        <v>0.45600000000000002</v>
      </c>
      <c r="J28">
        <f t="shared" si="1"/>
        <v>5.1109359873380084E-2</v>
      </c>
    </row>
    <row r="29" spans="1:10" ht="15.6" x14ac:dyDescent="0.3">
      <c r="A29" s="7">
        <v>32967</v>
      </c>
      <c r="B29">
        <v>4</v>
      </c>
      <c r="C29" s="14">
        <f>+AVERAGE(E31:H39)</f>
        <v>0.21769444444444444</v>
      </c>
      <c r="D29">
        <f>+STDEV(E31:H39)/SQRT(36)</f>
        <v>1.1546511838044532E-2</v>
      </c>
      <c r="E29" s="9"/>
      <c r="F29" s="9"/>
      <c r="G29" s="9"/>
      <c r="H29" s="9"/>
      <c r="I29" s="6"/>
    </row>
    <row r="30" spans="1:10" ht="15.6" x14ac:dyDescent="0.3">
      <c r="A30" s="10">
        <v>32981</v>
      </c>
      <c r="B30" s="11">
        <v>4</v>
      </c>
      <c r="C30" s="11"/>
      <c r="D30" s="11"/>
      <c r="E30" s="12">
        <v>10.313000000000001</v>
      </c>
      <c r="F30" s="12">
        <v>6.7430000000000003</v>
      </c>
      <c r="G30" s="12">
        <v>5.95</v>
      </c>
      <c r="H30" s="12">
        <v>9.1229999999999993</v>
      </c>
      <c r="I30" s="13">
        <f t="shared" si="0"/>
        <v>8.0322499999999994</v>
      </c>
      <c r="J30" s="11">
        <f t="shared" si="1"/>
        <v>1.0160990252759186</v>
      </c>
    </row>
    <row r="31" spans="1:10" ht="15.6" x14ac:dyDescent="0.3">
      <c r="A31" s="7">
        <v>33332</v>
      </c>
      <c r="B31">
        <v>4</v>
      </c>
      <c r="E31" s="8">
        <v>0.187</v>
      </c>
      <c r="F31" s="8">
        <v>9.4E-2</v>
      </c>
      <c r="G31" s="8">
        <v>9.7000000000000003E-2</v>
      </c>
      <c r="H31" s="8">
        <v>0.13600000000000001</v>
      </c>
      <c r="I31" s="6">
        <f t="shared" si="0"/>
        <v>0.1285</v>
      </c>
      <c r="J31">
        <f t="shared" si="1"/>
        <v>2.1719806628973472E-2</v>
      </c>
    </row>
    <row r="32" spans="1:10" ht="15.6" x14ac:dyDescent="0.3">
      <c r="A32" s="7">
        <v>33338</v>
      </c>
      <c r="B32">
        <v>4</v>
      </c>
      <c r="E32" s="8">
        <v>0.191</v>
      </c>
      <c r="F32" s="8">
        <v>0.24199999999999999</v>
      </c>
      <c r="G32" s="8">
        <v>0.13300000000000001</v>
      </c>
      <c r="H32" s="8">
        <v>0.38300000000000001</v>
      </c>
      <c r="I32" s="6">
        <f t="shared" si="0"/>
        <v>0.23725000000000002</v>
      </c>
      <c r="J32">
        <f t="shared" si="1"/>
        <v>5.3442141611279005E-2</v>
      </c>
    </row>
    <row r="33" spans="1:10" ht="15.6" x14ac:dyDescent="0.3">
      <c r="A33" s="7">
        <v>33345</v>
      </c>
      <c r="B33">
        <v>4</v>
      </c>
      <c r="E33" s="8">
        <v>0.23499999999999999</v>
      </c>
      <c r="F33" s="8">
        <v>0.14899999999999999</v>
      </c>
      <c r="G33" s="8">
        <v>0.184</v>
      </c>
      <c r="H33" s="8">
        <v>0.23499999999999999</v>
      </c>
      <c r="I33" s="6">
        <f t="shared" si="0"/>
        <v>0.20075000000000001</v>
      </c>
      <c r="J33">
        <f t="shared" si="1"/>
        <v>2.1025282400005889E-2</v>
      </c>
    </row>
    <row r="34" spans="1:10" ht="15.6" x14ac:dyDescent="0.3">
      <c r="A34" s="7">
        <v>33353</v>
      </c>
      <c r="B34">
        <v>4</v>
      </c>
      <c r="E34" s="8">
        <v>0.184</v>
      </c>
      <c r="F34" s="8">
        <v>0.187</v>
      </c>
      <c r="G34" s="8">
        <v>0.129</v>
      </c>
      <c r="H34" s="8">
        <v>0.23800000000000002</v>
      </c>
      <c r="I34" s="6">
        <f t="shared" si="0"/>
        <v>0.1845</v>
      </c>
      <c r="J34">
        <f t="shared" si="1"/>
        <v>2.2265444078212338E-2</v>
      </c>
    </row>
    <row r="35" spans="1:10" ht="15.6" x14ac:dyDescent="0.3">
      <c r="A35" s="7">
        <v>33696</v>
      </c>
      <c r="B35">
        <v>4</v>
      </c>
      <c r="E35" s="8">
        <v>0.33200000000000002</v>
      </c>
      <c r="F35" s="8">
        <v>0.26400000000000001</v>
      </c>
      <c r="G35" s="8">
        <v>0.28700000000000003</v>
      </c>
      <c r="H35" s="8">
        <v>0.185</v>
      </c>
      <c r="I35" s="6">
        <f t="shared" si="0"/>
        <v>0.26700000000000002</v>
      </c>
      <c r="J35">
        <f t="shared" si="1"/>
        <v>3.0765240125830366E-2</v>
      </c>
    </row>
    <row r="36" spans="1:10" ht="15.6" x14ac:dyDescent="0.3">
      <c r="A36" s="7">
        <v>33703</v>
      </c>
      <c r="B36">
        <v>4</v>
      </c>
      <c r="E36" s="8">
        <v>0.26300000000000001</v>
      </c>
      <c r="F36" s="8">
        <v>0.34200000000000003</v>
      </c>
      <c r="G36" s="8">
        <v>0.26400000000000001</v>
      </c>
      <c r="H36" s="8">
        <v>0.20300000000000001</v>
      </c>
      <c r="I36" s="6">
        <f t="shared" si="0"/>
        <v>0.26800000000000002</v>
      </c>
      <c r="J36">
        <f t="shared" si="1"/>
        <v>2.8492689120778528E-2</v>
      </c>
    </row>
    <row r="37" spans="1:10" ht="15.6" x14ac:dyDescent="0.3">
      <c r="A37" s="7">
        <v>33709</v>
      </c>
      <c r="B37">
        <v>4</v>
      </c>
      <c r="E37" s="8">
        <v>0.245</v>
      </c>
      <c r="F37" s="8">
        <v>0.26400000000000001</v>
      </c>
      <c r="G37" s="8">
        <v>0.29799999999999999</v>
      </c>
      <c r="H37" s="8">
        <v>0.27300000000000002</v>
      </c>
      <c r="I37" s="6">
        <f t="shared" si="0"/>
        <v>0.27</v>
      </c>
      <c r="J37">
        <f t="shared" si="1"/>
        <v>1.1007573150638911E-2</v>
      </c>
    </row>
    <row r="38" spans="1:10" ht="15.6" x14ac:dyDescent="0.3">
      <c r="A38" s="7">
        <v>33716</v>
      </c>
      <c r="B38">
        <v>4</v>
      </c>
      <c r="E38" s="8">
        <v>0.152</v>
      </c>
      <c r="F38" s="8">
        <v>0.121</v>
      </c>
      <c r="G38" s="8">
        <v>0.26900000000000002</v>
      </c>
      <c r="H38" s="8">
        <v>0.157</v>
      </c>
      <c r="I38" s="6">
        <f t="shared" si="0"/>
        <v>0.17475000000000002</v>
      </c>
      <c r="J38">
        <f t="shared" si="1"/>
        <v>3.2409810757443987E-2</v>
      </c>
    </row>
    <row r="39" spans="1:10" ht="15.6" x14ac:dyDescent="0.3">
      <c r="A39" s="7">
        <v>33724</v>
      </c>
      <c r="B39">
        <v>4</v>
      </c>
      <c r="E39" s="8">
        <v>0.247</v>
      </c>
      <c r="F39" s="8">
        <v>0.26</v>
      </c>
      <c r="G39" s="8">
        <v>0.23100000000000001</v>
      </c>
      <c r="H39" s="8">
        <v>0.17599999999999999</v>
      </c>
      <c r="I39" s="6">
        <f t="shared" si="0"/>
        <v>0.22849999999999998</v>
      </c>
      <c r="J39">
        <f t="shared" si="1"/>
        <v>1.847746375092298E-2</v>
      </c>
    </row>
    <row r="40" spans="1:10" ht="15.6" x14ac:dyDescent="0.3">
      <c r="A40" s="10">
        <v>32997</v>
      </c>
      <c r="B40" s="11">
        <v>5</v>
      </c>
      <c r="C40" s="15">
        <f>+AVERAGE(E41:H50)</f>
        <v>0.33051282051282038</v>
      </c>
      <c r="D40" s="11">
        <f>+STDEV(E41:H50)/SQRT(40)</f>
        <v>6.6634794844290024E-2</v>
      </c>
      <c r="E40" s="12"/>
      <c r="F40" s="12">
        <v>5.95</v>
      </c>
      <c r="G40" s="12">
        <v>7.14</v>
      </c>
      <c r="H40" s="12">
        <v>5.95</v>
      </c>
      <c r="I40" s="13">
        <f t="shared" si="0"/>
        <v>6.3466666666666667</v>
      </c>
      <c r="J40" s="11">
        <f t="shared" si="1"/>
        <v>0.34352341016782717</v>
      </c>
    </row>
    <row r="41" spans="1:10" ht="15.6" x14ac:dyDescent="0.3">
      <c r="A41" s="7">
        <v>33009</v>
      </c>
      <c r="B41">
        <v>5</v>
      </c>
      <c r="E41" s="8">
        <v>0.63500000000000001</v>
      </c>
      <c r="F41" s="8">
        <v>0.51600000000000001</v>
      </c>
      <c r="G41" s="8">
        <v>2.0630000000000002</v>
      </c>
      <c r="H41" s="8">
        <v>0.79300000000000004</v>
      </c>
      <c r="I41" s="6">
        <f t="shared" si="0"/>
        <v>1.0017500000000001</v>
      </c>
      <c r="J41">
        <f t="shared" si="1"/>
        <v>0.35826977149442374</v>
      </c>
    </row>
    <row r="42" spans="1:10" ht="15.6" x14ac:dyDescent="0.3">
      <c r="A42" s="7">
        <v>33023</v>
      </c>
      <c r="B42">
        <v>5</v>
      </c>
      <c r="E42" s="8">
        <v>0.27800000000000002</v>
      </c>
      <c r="F42" s="8">
        <v>0.35699999999999998</v>
      </c>
      <c r="G42" s="8">
        <v>1.468</v>
      </c>
      <c r="H42" s="8">
        <v>1.4279999999999999</v>
      </c>
      <c r="I42" s="6">
        <f t="shared" si="0"/>
        <v>0.88274999999999992</v>
      </c>
      <c r="J42">
        <f t="shared" si="1"/>
        <v>0.32684740960678688</v>
      </c>
    </row>
    <row r="43" spans="1:10" ht="15.6" x14ac:dyDescent="0.3">
      <c r="A43" s="7">
        <v>33366</v>
      </c>
      <c r="B43">
        <v>5</v>
      </c>
      <c r="E43" s="8">
        <v>0.14799999999999999</v>
      </c>
      <c r="F43" s="8">
        <v>7.8E-2</v>
      </c>
      <c r="G43" s="8">
        <v>7.8E-2</v>
      </c>
      <c r="H43" s="8">
        <v>0.182</v>
      </c>
      <c r="I43" s="6">
        <f t="shared" si="0"/>
        <v>0.1215</v>
      </c>
      <c r="J43">
        <f t="shared" si="1"/>
        <v>2.6056029372616762E-2</v>
      </c>
    </row>
    <row r="44" spans="1:10" ht="15.6" x14ac:dyDescent="0.3">
      <c r="A44" s="7">
        <v>33373</v>
      </c>
      <c r="B44">
        <v>5</v>
      </c>
      <c r="E44" s="8">
        <v>0.26100000000000001</v>
      </c>
      <c r="F44" s="8">
        <v>7.8E-2</v>
      </c>
      <c r="G44" s="8">
        <v>0.13200000000000001</v>
      </c>
      <c r="H44" s="8">
        <v>0.11600000000000001</v>
      </c>
      <c r="I44" s="6">
        <f t="shared" si="0"/>
        <v>0.14675000000000002</v>
      </c>
      <c r="J44">
        <f t="shared" si="1"/>
        <v>3.9731127595375386E-2</v>
      </c>
    </row>
    <row r="45" spans="1:10" ht="15.6" x14ac:dyDescent="0.3">
      <c r="A45" s="7">
        <v>33380</v>
      </c>
      <c r="B45">
        <v>5</v>
      </c>
      <c r="E45" s="8"/>
      <c r="F45" s="8">
        <v>0.16800000000000001</v>
      </c>
      <c r="G45" s="8">
        <v>0.20300000000000001</v>
      </c>
      <c r="H45" s="8">
        <v>0.27700000000000002</v>
      </c>
      <c r="I45" s="6">
        <f t="shared" si="0"/>
        <v>0.216</v>
      </c>
      <c r="J45">
        <f t="shared" si="1"/>
        <v>2.7825348155953066E-2</v>
      </c>
    </row>
    <row r="46" spans="1:10" ht="15.6" x14ac:dyDescent="0.3">
      <c r="A46" s="7">
        <v>33387</v>
      </c>
      <c r="B46">
        <v>5</v>
      </c>
      <c r="E46" s="8">
        <v>7.6999999999999999E-2</v>
      </c>
      <c r="F46" s="8">
        <v>4.2000000000000003E-2</v>
      </c>
      <c r="G46" s="8">
        <v>9.7000000000000003E-2</v>
      </c>
      <c r="H46" s="8">
        <v>0.19900000000000001</v>
      </c>
      <c r="I46" s="6">
        <f t="shared" si="0"/>
        <v>0.10375000000000001</v>
      </c>
      <c r="J46">
        <f t="shared" si="1"/>
        <v>3.3722828568592322E-2</v>
      </c>
    </row>
    <row r="47" spans="1:10" ht="15.6" x14ac:dyDescent="0.3">
      <c r="A47" s="7">
        <v>33730</v>
      </c>
      <c r="B47">
        <v>5</v>
      </c>
      <c r="E47" s="8">
        <v>0.151</v>
      </c>
      <c r="F47" s="8">
        <v>0.185</v>
      </c>
      <c r="G47" s="8">
        <v>0.157</v>
      </c>
      <c r="H47" s="8">
        <v>0.23100000000000001</v>
      </c>
      <c r="I47" s="6">
        <f t="shared" si="0"/>
        <v>0.18099999999999999</v>
      </c>
      <c r="J47">
        <f t="shared" si="1"/>
        <v>1.8239152027072592E-2</v>
      </c>
    </row>
    <row r="48" spans="1:10" ht="15.6" x14ac:dyDescent="0.3">
      <c r="A48" s="7">
        <v>33737</v>
      </c>
      <c r="B48">
        <v>5</v>
      </c>
      <c r="E48" s="8">
        <v>0.14799999999999999</v>
      </c>
      <c r="F48" s="8">
        <v>0.23100000000000001</v>
      </c>
      <c r="G48" s="8">
        <v>0.185</v>
      </c>
      <c r="H48" s="8">
        <v>0.16400000000000001</v>
      </c>
      <c r="I48" s="6">
        <f t="shared" si="0"/>
        <v>0.18200000000000002</v>
      </c>
      <c r="J48">
        <f t="shared" si="1"/>
        <v>1.8004629034408477E-2</v>
      </c>
    </row>
    <row r="49" spans="1:10" ht="15.6" x14ac:dyDescent="0.3">
      <c r="A49" s="7">
        <v>33744</v>
      </c>
      <c r="B49">
        <v>5</v>
      </c>
      <c r="E49" s="8">
        <v>0.25</v>
      </c>
      <c r="F49" s="8">
        <v>0.161</v>
      </c>
      <c r="G49" s="8">
        <v>0.185</v>
      </c>
      <c r="H49" s="8">
        <v>0.30599999999999999</v>
      </c>
      <c r="I49" s="6">
        <f t="shared" si="0"/>
        <v>0.22550000000000003</v>
      </c>
      <c r="J49">
        <f t="shared" si="1"/>
        <v>3.2763038117162795E-2</v>
      </c>
    </row>
    <row r="50" spans="1:10" ht="15.6" x14ac:dyDescent="0.3">
      <c r="A50" s="7">
        <v>33751</v>
      </c>
      <c r="B50">
        <v>5</v>
      </c>
      <c r="E50" s="8">
        <v>0.247</v>
      </c>
      <c r="F50" s="8">
        <v>0.21199999999999999</v>
      </c>
      <c r="G50" s="8">
        <v>0.14599999999999999</v>
      </c>
      <c r="H50" s="8">
        <v>0.25700000000000001</v>
      </c>
      <c r="I50" s="6">
        <f t="shared" si="0"/>
        <v>0.2155</v>
      </c>
      <c r="J50">
        <f t="shared" si="1"/>
        <v>2.5094820182659221E-2</v>
      </c>
    </row>
    <row r="51" spans="1:10" ht="15.6" x14ac:dyDescent="0.3">
      <c r="A51" s="7">
        <v>33038</v>
      </c>
      <c r="B51">
        <v>6</v>
      </c>
      <c r="C51" s="14">
        <f>+AVERAGE(E51:H60)</f>
        <v>0.37756250000000002</v>
      </c>
      <c r="D51">
        <f>+STDEV(E51:H61)/SQRT(40)</f>
        <v>2.9978569376285086E-2</v>
      </c>
      <c r="E51" s="8">
        <v>0.35699999999999998</v>
      </c>
      <c r="F51" s="8">
        <v>0.35699999999999998</v>
      </c>
      <c r="G51" s="8">
        <v>0.754</v>
      </c>
      <c r="H51" s="9"/>
      <c r="I51" s="6">
        <f t="shared" si="0"/>
        <v>0.48933333333333334</v>
      </c>
      <c r="J51">
        <f t="shared" si="1"/>
        <v>0.11460402843414068</v>
      </c>
    </row>
    <row r="52" spans="1:10" ht="15.6" x14ac:dyDescent="0.3">
      <c r="A52" s="7">
        <v>33051</v>
      </c>
      <c r="B52">
        <v>6</v>
      </c>
      <c r="E52" s="8">
        <v>0.59499999999999997</v>
      </c>
      <c r="F52" s="8">
        <v>0.71399999999999997</v>
      </c>
      <c r="G52" s="8">
        <v>0.95200000000000007</v>
      </c>
      <c r="H52" s="8">
        <v>0.23800000000000002</v>
      </c>
      <c r="I52" s="6">
        <f t="shared" si="0"/>
        <v>0.62475000000000003</v>
      </c>
      <c r="J52">
        <f t="shared" si="1"/>
        <v>0.14874999999999999</v>
      </c>
    </row>
    <row r="53" spans="1:10" ht="15.6" x14ac:dyDescent="0.3">
      <c r="A53" s="7">
        <v>33394</v>
      </c>
      <c r="B53">
        <v>6</v>
      </c>
      <c r="E53" s="8">
        <v>0.222</v>
      </c>
      <c r="F53" s="8">
        <v>0.35100000000000003</v>
      </c>
      <c r="G53" s="8"/>
      <c r="H53" s="8">
        <v>0.28000000000000003</v>
      </c>
      <c r="I53" s="6">
        <f t="shared" si="0"/>
        <v>0.28433333333333338</v>
      </c>
      <c r="J53">
        <f t="shared" si="1"/>
        <v>3.2304540444546344E-2</v>
      </c>
    </row>
    <row r="54" spans="1:10" ht="15.6" x14ac:dyDescent="0.3">
      <c r="A54" s="7">
        <v>33401</v>
      </c>
      <c r="B54">
        <v>6</v>
      </c>
      <c r="E54" s="8"/>
      <c r="F54" s="8"/>
      <c r="G54" s="8"/>
      <c r="H54" s="8"/>
      <c r="I54" s="6"/>
    </row>
    <row r="55" spans="1:10" ht="15.6" x14ac:dyDescent="0.3">
      <c r="A55" s="7">
        <v>33409</v>
      </c>
      <c r="B55">
        <v>6</v>
      </c>
      <c r="E55" s="8">
        <v>0.11</v>
      </c>
      <c r="F55" s="8">
        <v>0.184</v>
      </c>
      <c r="G55" s="8">
        <v>0.29299999999999998</v>
      </c>
      <c r="H55" s="8">
        <v>0.38300000000000001</v>
      </c>
      <c r="I55" s="6">
        <f t="shared" si="0"/>
        <v>0.24249999999999999</v>
      </c>
      <c r="J55">
        <f t="shared" si="1"/>
        <v>6.004789754854039E-2</v>
      </c>
    </row>
    <row r="56" spans="1:10" ht="15.6" x14ac:dyDescent="0.3">
      <c r="A56" s="7">
        <v>33415</v>
      </c>
      <c r="B56">
        <v>6</v>
      </c>
      <c r="E56" s="8">
        <v>0.125</v>
      </c>
      <c r="F56" s="8"/>
      <c r="G56" s="8">
        <v>0.254</v>
      </c>
      <c r="H56" s="8">
        <v>0.2</v>
      </c>
      <c r="I56" s="6">
        <f t="shared" si="0"/>
        <v>0.19299999999999998</v>
      </c>
      <c r="J56">
        <f t="shared" si="1"/>
        <v>3.2392128673491082E-2</v>
      </c>
    </row>
    <row r="57" spans="1:10" ht="15.6" x14ac:dyDescent="0.3">
      <c r="A57" s="7">
        <v>33758</v>
      </c>
      <c r="B57">
        <v>6</v>
      </c>
      <c r="E57" s="8">
        <v>0.52100000000000002</v>
      </c>
      <c r="F57" s="8">
        <v>0.434</v>
      </c>
      <c r="G57" s="8">
        <v>0.40900000000000003</v>
      </c>
      <c r="H57" s="8">
        <v>0.39700000000000002</v>
      </c>
      <c r="I57" s="6">
        <f t="shared" si="0"/>
        <v>0.44025000000000003</v>
      </c>
      <c r="J57">
        <f t="shared" si="1"/>
        <v>2.799813981916166E-2</v>
      </c>
    </row>
    <row r="58" spans="1:10" ht="15.6" x14ac:dyDescent="0.3">
      <c r="A58" s="7">
        <v>33765</v>
      </c>
      <c r="B58">
        <v>6</v>
      </c>
      <c r="E58" s="8">
        <v>0.36199999999999999</v>
      </c>
      <c r="F58" s="8">
        <v>0.37</v>
      </c>
      <c r="G58" s="8">
        <v>0.32100000000000001</v>
      </c>
      <c r="H58" s="8"/>
      <c r="I58" s="6">
        <f t="shared" si="0"/>
        <v>0.35099999999999998</v>
      </c>
      <c r="J58">
        <f t="shared" si="1"/>
        <v>1.3143439428094912E-2</v>
      </c>
    </row>
    <row r="59" spans="1:10" ht="15.6" x14ac:dyDescent="0.3">
      <c r="A59" s="7">
        <v>33772</v>
      </c>
      <c r="B59">
        <v>6</v>
      </c>
      <c r="E59" s="8">
        <v>0.40900000000000003</v>
      </c>
      <c r="F59" s="8">
        <v>0.26</v>
      </c>
      <c r="G59" s="8">
        <v>0.432</v>
      </c>
      <c r="H59" s="8">
        <v>0.55300000000000005</v>
      </c>
      <c r="I59" s="6">
        <f t="shared" si="0"/>
        <v>0.41349999999999998</v>
      </c>
      <c r="J59">
        <f t="shared" si="1"/>
        <v>6.0128334973344112E-2</v>
      </c>
    </row>
    <row r="60" spans="1:10" ht="15.6" x14ac:dyDescent="0.3">
      <c r="A60" s="7">
        <v>33778</v>
      </c>
      <c r="B60">
        <v>6</v>
      </c>
      <c r="E60" s="8">
        <v>0.27400000000000002</v>
      </c>
      <c r="F60" s="8">
        <v>0.312</v>
      </c>
      <c r="G60" s="8">
        <v>0.28700000000000003</v>
      </c>
      <c r="H60" s="8">
        <v>0.372</v>
      </c>
      <c r="I60" s="6">
        <f t="shared" si="0"/>
        <v>0.31125000000000003</v>
      </c>
      <c r="J60">
        <f t="shared" si="1"/>
        <v>2.1730834467794065E-2</v>
      </c>
    </row>
    <row r="61" spans="1:10" ht="15.6" x14ac:dyDescent="0.3">
      <c r="A61" s="7">
        <v>33065</v>
      </c>
      <c r="B61">
        <v>7</v>
      </c>
      <c r="C61" s="14">
        <f>+AVERAGE(E61:H72)</f>
        <v>0.28362790697674428</v>
      </c>
      <c r="D61">
        <f>+STDEV(E63:H72)/SQRT(48)</f>
        <v>2.0482918409767591E-2</v>
      </c>
      <c r="E61" s="8">
        <v>0.39700000000000002</v>
      </c>
      <c r="F61" s="8">
        <v>0.47600000000000003</v>
      </c>
      <c r="G61" s="8">
        <v>0.83299999999999996</v>
      </c>
      <c r="H61" s="9"/>
      <c r="I61" s="6">
        <f t="shared" si="0"/>
        <v>0.56866666666666665</v>
      </c>
      <c r="J61">
        <f t="shared" si="1"/>
        <v>0.1161511228242471</v>
      </c>
    </row>
    <row r="62" spans="1:10" ht="15.6" x14ac:dyDescent="0.3">
      <c r="A62" s="7">
        <v>33079</v>
      </c>
      <c r="B62">
        <v>7</v>
      </c>
      <c r="E62" s="9"/>
      <c r="F62" s="9"/>
      <c r="G62" s="9"/>
      <c r="H62" s="9"/>
      <c r="I62" s="6"/>
    </row>
    <row r="63" spans="1:10" ht="15.6" x14ac:dyDescent="0.3">
      <c r="A63" s="7">
        <v>33422</v>
      </c>
      <c r="B63">
        <v>7</v>
      </c>
      <c r="E63" s="8">
        <v>0.125</v>
      </c>
      <c r="F63" s="8">
        <v>0.219</v>
      </c>
      <c r="G63" s="8">
        <v>0.23100000000000001</v>
      </c>
      <c r="H63" s="8">
        <v>0.89900000000000002</v>
      </c>
      <c r="I63" s="6">
        <f t="shared" si="0"/>
        <v>0.36849999999999999</v>
      </c>
      <c r="J63">
        <f t="shared" si="1"/>
        <v>0.17841407829353975</v>
      </c>
    </row>
    <row r="64" spans="1:10" ht="15.6" x14ac:dyDescent="0.3">
      <c r="A64" s="7">
        <v>33429</v>
      </c>
      <c r="B64">
        <v>7</v>
      </c>
      <c r="E64" s="8">
        <v>0.21199999999999999</v>
      </c>
      <c r="F64" s="8">
        <v>0.161</v>
      </c>
      <c r="G64" s="8">
        <v>0.38300000000000001</v>
      </c>
      <c r="H64" s="8">
        <v>0.58599999999999997</v>
      </c>
      <c r="I64" s="6">
        <f t="shared" si="0"/>
        <v>0.33550000000000002</v>
      </c>
      <c r="J64">
        <f t="shared" si="1"/>
        <v>9.6050767826186587E-2</v>
      </c>
    </row>
    <row r="65" spans="1:10" ht="15.6" x14ac:dyDescent="0.3">
      <c r="A65" s="7">
        <v>33437</v>
      </c>
      <c r="B65">
        <v>7</v>
      </c>
      <c r="E65" s="8">
        <v>0.14499999999999999</v>
      </c>
      <c r="F65" s="8">
        <v>0.161</v>
      </c>
      <c r="G65" s="8">
        <v>0.157</v>
      </c>
      <c r="H65" s="8">
        <v>0.45300000000000001</v>
      </c>
      <c r="I65" s="6">
        <f t="shared" si="0"/>
        <v>0.22899999999999998</v>
      </c>
      <c r="J65">
        <f t="shared" si="1"/>
        <v>7.4744007563594478E-2</v>
      </c>
    </row>
    <row r="66" spans="1:10" ht="15.6" x14ac:dyDescent="0.3">
      <c r="A66" s="7">
        <v>33443</v>
      </c>
      <c r="B66">
        <v>7</v>
      </c>
      <c r="E66" s="8">
        <v>7.3999999999999996E-2</v>
      </c>
      <c r="F66" s="8">
        <v>0.14499999999999999</v>
      </c>
      <c r="G66" s="8">
        <v>0.14499999999999999</v>
      </c>
      <c r="H66" s="8">
        <v>0.219</v>
      </c>
      <c r="I66" s="6">
        <f t="shared" si="0"/>
        <v>0.14574999999999999</v>
      </c>
      <c r="J66">
        <f t="shared" si="1"/>
        <v>2.9601168332798404E-2</v>
      </c>
    </row>
    <row r="67" spans="1:10" ht="15.6" x14ac:dyDescent="0.3">
      <c r="A67" s="7">
        <v>33450</v>
      </c>
      <c r="B67">
        <v>7</v>
      </c>
      <c r="E67" s="8">
        <v>0.34400000000000003</v>
      </c>
      <c r="F67" s="8">
        <v>0.25800000000000001</v>
      </c>
      <c r="G67" s="8">
        <v>0.17699999999999999</v>
      </c>
      <c r="H67" s="8">
        <v>0.20300000000000001</v>
      </c>
      <c r="I67" s="6">
        <f t="shared" si="0"/>
        <v>0.24550000000000005</v>
      </c>
      <c r="J67">
        <f t="shared" si="1"/>
        <v>3.6919958468737815E-2</v>
      </c>
    </row>
    <row r="68" spans="1:10" ht="15.6" x14ac:dyDescent="0.3">
      <c r="A68" s="7">
        <v>33786</v>
      </c>
      <c r="B68">
        <v>7</v>
      </c>
      <c r="E68" s="8">
        <v>0.20300000000000001</v>
      </c>
      <c r="F68" s="8">
        <v>0.24199999999999999</v>
      </c>
      <c r="G68" s="8">
        <v>0.38700000000000001</v>
      </c>
      <c r="H68" s="8">
        <v>0.31900000000000001</v>
      </c>
      <c r="I68" s="6">
        <f t="shared" ref="I68:I122" si="2">+AVERAGE(E68:H68)</f>
        <v>0.28775000000000001</v>
      </c>
      <c r="J68">
        <f t="shared" ref="J68:J122" si="3">+STDEV(E68:H68)/SQRT(4)</f>
        <v>4.0929563480040523E-2</v>
      </c>
    </row>
    <row r="69" spans="1:10" ht="15.6" x14ac:dyDescent="0.3">
      <c r="A69" s="7">
        <v>33793</v>
      </c>
      <c r="B69">
        <v>7</v>
      </c>
      <c r="E69" s="8">
        <v>0.128</v>
      </c>
      <c r="F69" s="8">
        <v>0.17400000000000002</v>
      </c>
      <c r="G69" s="8">
        <v>0.184</v>
      </c>
      <c r="H69" s="8">
        <v>0.25800000000000001</v>
      </c>
      <c r="I69" s="6">
        <f t="shared" si="2"/>
        <v>0.186</v>
      </c>
      <c r="J69">
        <f t="shared" si="3"/>
        <v>2.6919633479426594E-2</v>
      </c>
    </row>
    <row r="70" spans="1:10" ht="15.6" x14ac:dyDescent="0.3">
      <c r="A70" s="7">
        <v>33800</v>
      </c>
      <c r="B70">
        <v>7</v>
      </c>
      <c r="E70" s="8">
        <v>0.3</v>
      </c>
      <c r="F70" s="8">
        <v>0.29399999999999998</v>
      </c>
      <c r="G70" s="8">
        <v>0.308</v>
      </c>
      <c r="H70" s="8">
        <v>0.22600000000000001</v>
      </c>
      <c r="I70" s="6">
        <f t="shared" si="2"/>
        <v>0.28199999999999997</v>
      </c>
      <c r="J70">
        <f t="shared" si="3"/>
        <v>1.8885620632287194E-2</v>
      </c>
    </row>
    <row r="71" spans="1:10" ht="15.6" x14ac:dyDescent="0.3">
      <c r="A71" s="7">
        <v>33807</v>
      </c>
      <c r="B71">
        <v>7</v>
      </c>
      <c r="E71" s="8">
        <v>0.27600000000000002</v>
      </c>
      <c r="F71" s="8">
        <v>0.317</v>
      </c>
      <c r="G71" s="8">
        <v>0.30399999999999999</v>
      </c>
      <c r="H71" s="8">
        <v>0.25900000000000001</v>
      </c>
      <c r="I71" s="6">
        <f t="shared" si="2"/>
        <v>0.28900000000000003</v>
      </c>
      <c r="J71">
        <f t="shared" si="3"/>
        <v>1.3159280628767917E-2</v>
      </c>
    </row>
    <row r="72" spans="1:10" ht="15.6" x14ac:dyDescent="0.3">
      <c r="A72" s="7">
        <v>33814</v>
      </c>
      <c r="B72">
        <v>7</v>
      </c>
      <c r="E72" s="8">
        <v>0.221</v>
      </c>
      <c r="F72" s="8">
        <v>0.23100000000000001</v>
      </c>
      <c r="G72" s="8">
        <v>0.23900000000000002</v>
      </c>
      <c r="H72" s="8">
        <v>0.32300000000000001</v>
      </c>
      <c r="I72" s="6">
        <f t="shared" si="2"/>
        <v>0.2535</v>
      </c>
      <c r="J72">
        <f t="shared" si="3"/>
        <v>2.3457408211479746E-2</v>
      </c>
    </row>
    <row r="73" spans="1:10" ht="15.6" x14ac:dyDescent="0.3">
      <c r="A73" s="7">
        <v>33094</v>
      </c>
      <c r="B73">
        <v>8</v>
      </c>
      <c r="C73" s="14">
        <f>+AVERAGE(E73:H82)</f>
        <v>0.43151282051282053</v>
      </c>
      <c r="D73">
        <f>+STDEV(E73:H82)/SQRT(40)</f>
        <v>8.7630638355985169E-2</v>
      </c>
      <c r="E73" s="8">
        <v>1.0309999999999999</v>
      </c>
      <c r="F73" s="9"/>
      <c r="G73" s="8">
        <v>0.63500000000000001</v>
      </c>
      <c r="H73" s="8">
        <v>0.59499999999999997</v>
      </c>
      <c r="I73" s="6">
        <f t="shared" si="2"/>
        <v>0.75366666666666671</v>
      </c>
      <c r="J73">
        <f t="shared" si="3"/>
        <v>0.12050449507521827</v>
      </c>
    </row>
    <row r="74" spans="1:10" ht="15.6" x14ac:dyDescent="0.3">
      <c r="A74" s="7">
        <v>33107</v>
      </c>
      <c r="B74">
        <v>8</v>
      </c>
      <c r="E74" s="8">
        <v>3.61</v>
      </c>
      <c r="F74" s="8">
        <v>0.83299999999999996</v>
      </c>
      <c r="G74" s="8">
        <v>0.51600000000000001</v>
      </c>
      <c r="H74" s="8">
        <v>0.47600000000000003</v>
      </c>
      <c r="I74" s="6">
        <f t="shared" si="2"/>
        <v>1.3587499999999999</v>
      </c>
      <c r="J74">
        <f t="shared" si="3"/>
        <v>0.75465305218137613</v>
      </c>
    </row>
    <row r="75" spans="1:10" ht="15.6" x14ac:dyDescent="0.3">
      <c r="A75" s="7">
        <v>33457</v>
      </c>
      <c r="B75">
        <v>8</v>
      </c>
      <c r="E75" s="8">
        <v>0.56700000000000006</v>
      </c>
      <c r="F75" s="8">
        <v>0.42199999999999999</v>
      </c>
      <c r="G75" s="8">
        <v>0.40600000000000003</v>
      </c>
      <c r="H75" s="8">
        <v>0.38300000000000001</v>
      </c>
      <c r="I75" s="6">
        <f t="shared" si="2"/>
        <v>0.44450000000000001</v>
      </c>
      <c r="J75">
        <f t="shared" si="3"/>
        <v>4.1610295200426903E-2</v>
      </c>
    </row>
    <row r="76" spans="1:10" ht="15.6" x14ac:dyDescent="0.3">
      <c r="A76" s="7">
        <v>33464</v>
      </c>
      <c r="B76">
        <v>8</v>
      </c>
      <c r="E76" s="8">
        <v>0.309</v>
      </c>
      <c r="F76" s="8">
        <v>0.32800000000000001</v>
      </c>
      <c r="G76" s="8">
        <v>0.33200000000000002</v>
      </c>
      <c r="H76" s="8">
        <v>0.27700000000000002</v>
      </c>
      <c r="I76" s="6">
        <f t="shared" si="2"/>
        <v>0.3115</v>
      </c>
      <c r="J76">
        <f t="shared" si="3"/>
        <v>1.2546579879260588E-2</v>
      </c>
    </row>
    <row r="77" spans="1:10" ht="15.6" x14ac:dyDescent="0.3">
      <c r="A77" s="7">
        <v>33471</v>
      </c>
      <c r="B77">
        <v>8</v>
      </c>
      <c r="E77" s="8">
        <v>0.219</v>
      </c>
      <c r="F77" s="8">
        <v>0.29299999999999998</v>
      </c>
      <c r="G77" s="8">
        <v>0.254</v>
      </c>
      <c r="H77" s="8">
        <v>0.23800000000000002</v>
      </c>
      <c r="I77" s="6">
        <f t="shared" si="2"/>
        <v>0.251</v>
      </c>
      <c r="J77">
        <f t="shared" si="3"/>
        <v>1.5721535124365835E-2</v>
      </c>
    </row>
    <row r="78" spans="1:10" ht="15.6" x14ac:dyDescent="0.3">
      <c r="A78" s="7">
        <v>33478</v>
      </c>
      <c r="B78">
        <v>8</v>
      </c>
      <c r="E78" s="8">
        <v>0.27400000000000002</v>
      </c>
      <c r="F78" s="8">
        <v>0.36699999999999999</v>
      </c>
      <c r="G78" s="8">
        <v>0.27700000000000002</v>
      </c>
      <c r="H78" s="8">
        <v>0.33500000000000002</v>
      </c>
      <c r="I78" s="6">
        <f t="shared" si="2"/>
        <v>0.31325000000000003</v>
      </c>
      <c r="J78">
        <f t="shared" si="3"/>
        <v>2.2760986358240264E-2</v>
      </c>
    </row>
    <row r="79" spans="1:10" ht="15.6" x14ac:dyDescent="0.3">
      <c r="A79" s="7">
        <v>33821</v>
      </c>
      <c r="B79">
        <v>8</v>
      </c>
      <c r="E79" s="8">
        <v>0.20499999999999999</v>
      </c>
      <c r="F79" s="8">
        <v>0.16</v>
      </c>
      <c r="G79" s="8">
        <v>0.17799999999999999</v>
      </c>
      <c r="H79" s="8">
        <v>0.28300000000000003</v>
      </c>
      <c r="I79" s="6">
        <f t="shared" si="2"/>
        <v>0.20649999999999999</v>
      </c>
      <c r="J79">
        <f t="shared" si="3"/>
        <v>2.7124711980037734E-2</v>
      </c>
    </row>
    <row r="80" spans="1:10" ht="15.6" x14ac:dyDescent="0.3">
      <c r="A80" s="7">
        <v>33828</v>
      </c>
      <c r="B80">
        <v>8</v>
      </c>
      <c r="E80" s="8">
        <v>0.193</v>
      </c>
      <c r="F80" s="8">
        <v>0.14100000000000001</v>
      </c>
      <c r="G80" s="8">
        <v>0.218</v>
      </c>
      <c r="H80" s="8">
        <v>0.27700000000000002</v>
      </c>
      <c r="I80" s="6">
        <f t="shared" si="2"/>
        <v>0.20725000000000002</v>
      </c>
      <c r="J80">
        <f t="shared" si="3"/>
        <v>2.824409967881196E-2</v>
      </c>
    </row>
    <row r="81" spans="1:10" ht="15.6" x14ac:dyDescent="0.3">
      <c r="A81" s="7">
        <v>33835</v>
      </c>
      <c r="B81">
        <v>8</v>
      </c>
      <c r="E81" s="8">
        <v>0.49</v>
      </c>
      <c r="F81" s="8">
        <v>0.151</v>
      </c>
      <c r="G81" s="8">
        <v>0.17</v>
      </c>
      <c r="H81" s="8">
        <v>0.22500000000000001</v>
      </c>
      <c r="I81" s="6">
        <f t="shared" si="2"/>
        <v>0.25900000000000001</v>
      </c>
      <c r="J81">
        <f t="shared" si="3"/>
        <v>7.8582228694957915E-2</v>
      </c>
    </row>
    <row r="82" spans="1:10" ht="15.6" x14ac:dyDescent="0.3">
      <c r="A82" s="7">
        <v>33842</v>
      </c>
      <c r="B82">
        <v>8</v>
      </c>
      <c r="E82" s="8">
        <v>0.29799999999999999</v>
      </c>
      <c r="F82" s="8">
        <v>0.28000000000000003</v>
      </c>
      <c r="G82" s="8">
        <v>0.29399999999999998</v>
      </c>
      <c r="H82" s="8">
        <v>0.28899999999999998</v>
      </c>
      <c r="I82" s="6">
        <f t="shared" si="2"/>
        <v>0.29025000000000001</v>
      </c>
      <c r="J82">
        <f t="shared" si="3"/>
        <v>3.8810436740649972E-3</v>
      </c>
    </row>
    <row r="83" spans="1:10" ht="15.6" x14ac:dyDescent="0.3">
      <c r="A83" s="7">
        <v>33121</v>
      </c>
      <c r="B83">
        <v>9</v>
      </c>
      <c r="C83" s="14">
        <f>+AVERAGE(E83:H93)</f>
        <v>0.31697727272727261</v>
      </c>
      <c r="D83">
        <f>+STDEV(E83:H93)/SQRT(44)</f>
        <v>3.7348516993354931E-2</v>
      </c>
      <c r="E83" s="8">
        <v>0.91200000000000003</v>
      </c>
      <c r="F83" s="8">
        <v>0.91200000000000003</v>
      </c>
      <c r="G83" s="8">
        <v>0.873</v>
      </c>
      <c r="H83" s="8">
        <v>0.83299999999999996</v>
      </c>
      <c r="I83" s="6">
        <f t="shared" si="2"/>
        <v>0.88250000000000006</v>
      </c>
      <c r="J83">
        <f t="shared" si="3"/>
        <v>1.8887826767524117E-2</v>
      </c>
    </row>
    <row r="84" spans="1:10" ht="15.6" x14ac:dyDescent="0.3">
      <c r="A84" s="7">
        <v>33137</v>
      </c>
      <c r="B84">
        <v>9</v>
      </c>
      <c r="E84" s="8">
        <v>0.71399999999999997</v>
      </c>
      <c r="F84" s="8">
        <v>0.79300000000000004</v>
      </c>
      <c r="G84" s="8">
        <v>0.59499999999999997</v>
      </c>
      <c r="H84" s="8">
        <v>0.873</v>
      </c>
      <c r="I84" s="6">
        <f t="shared" si="2"/>
        <v>0.74375000000000013</v>
      </c>
      <c r="J84">
        <f t="shared" si="3"/>
        <v>5.9261250689917604E-2</v>
      </c>
    </row>
    <row r="85" spans="1:10" ht="15.6" x14ac:dyDescent="0.3">
      <c r="A85" s="7">
        <v>33486</v>
      </c>
      <c r="B85">
        <v>9</v>
      </c>
      <c r="E85" s="8">
        <v>0.14799999999999999</v>
      </c>
      <c r="F85" s="8">
        <v>0.14799999999999999</v>
      </c>
      <c r="G85" s="8">
        <v>0.313</v>
      </c>
      <c r="H85" s="8">
        <v>0.113</v>
      </c>
      <c r="I85" s="6">
        <f t="shared" si="2"/>
        <v>0.18049999999999999</v>
      </c>
      <c r="J85">
        <f t="shared" si="3"/>
        <v>4.4930501889028571E-2</v>
      </c>
    </row>
    <row r="86" spans="1:10" ht="15.6" x14ac:dyDescent="0.3">
      <c r="A86" s="7">
        <v>33491</v>
      </c>
      <c r="B86">
        <v>9</v>
      </c>
      <c r="E86" s="8">
        <v>0.25800000000000001</v>
      </c>
      <c r="F86" s="8">
        <v>0.29299999999999998</v>
      </c>
      <c r="G86" s="8">
        <v>0.25800000000000001</v>
      </c>
      <c r="H86" s="8">
        <v>0.313</v>
      </c>
      <c r="I86" s="6">
        <f t="shared" si="2"/>
        <v>0.28049999999999997</v>
      </c>
      <c r="J86">
        <f t="shared" si="3"/>
        <v>1.3616778865306822E-2</v>
      </c>
    </row>
    <row r="87" spans="1:10" ht="15.6" x14ac:dyDescent="0.3">
      <c r="A87" s="7">
        <v>33498</v>
      </c>
      <c r="B87">
        <v>9</v>
      </c>
      <c r="E87" s="8">
        <v>0.129</v>
      </c>
      <c r="F87" s="8">
        <v>0.187</v>
      </c>
      <c r="G87" s="8">
        <v>0.219</v>
      </c>
      <c r="H87" s="8">
        <v>0.184</v>
      </c>
      <c r="I87" s="6">
        <f t="shared" si="2"/>
        <v>0.17975000000000002</v>
      </c>
      <c r="J87">
        <f t="shared" si="3"/>
        <v>1.8678753527292181E-2</v>
      </c>
    </row>
    <row r="88" spans="1:10" ht="15.6" x14ac:dyDescent="0.3">
      <c r="A88" s="7">
        <v>33506</v>
      </c>
      <c r="B88">
        <v>9</v>
      </c>
      <c r="E88" s="8">
        <v>0.09</v>
      </c>
      <c r="F88" s="8">
        <v>0.113</v>
      </c>
      <c r="G88" s="8">
        <v>9.4E-2</v>
      </c>
      <c r="H88" s="8">
        <v>0.219</v>
      </c>
      <c r="I88" s="6">
        <f t="shared" si="2"/>
        <v>0.129</v>
      </c>
      <c r="J88">
        <f t="shared" si="3"/>
        <v>3.041655251120131E-2</v>
      </c>
    </row>
    <row r="89" spans="1:10" ht="15.6" x14ac:dyDescent="0.3">
      <c r="A89" s="7">
        <v>33849</v>
      </c>
      <c r="B89">
        <v>9</v>
      </c>
      <c r="E89" s="8">
        <v>0.188</v>
      </c>
      <c r="F89" s="8">
        <v>0.192</v>
      </c>
      <c r="G89" s="8">
        <v>0.25700000000000001</v>
      </c>
      <c r="H89" s="8">
        <v>0.26200000000000001</v>
      </c>
      <c r="I89" s="6">
        <f t="shared" si="2"/>
        <v>0.22475000000000001</v>
      </c>
      <c r="J89">
        <f t="shared" si="3"/>
        <v>2.0105451167946108E-2</v>
      </c>
    </row>
    <row r="90" spans="1:10" ht="15.6" x14ac:dyDescent="0.3">
      <c r="A90" s="7">
        <v>33857</v>
      </c>
      <c r="B90">
        <v>9</v>
      </c>
      <c r="E90" s="8">
        <v>0.3</v>
      </c>
      <c r="F90" s="8">
        <v>0.27600000000000002</v>
      </c>
      <c r="G90" s="8">
        <v>0.193</v>
      </c>
      <c r="H90" s="8">
        <v>0.27600000000000002</v>
      </c>
      <c r="I90" s="6">
        <f t="shared" si="2"/>
        <v>0.26125000000000004</v>
      </c>
      <c r="J90">
        <f t="shared" si="3"/>
        <v>2.3442749412131546E-2</v>
      </c>
    </row>
    <row r="91" spans="1:10" ht="15.6" x14ac:dyDescent="0.3">
      <c r="A91" s="7">
        <v>33863</v>
      </c>
      <c r="B91">
        <v>9</v>
      </c>
      <c r="E91" s="8">
        <v>0.156</v>
      </c>
      <c r="F91" s="8">
        <v>0.17400000000000002</v>
      </c>
      <c r="G91" s="8">
        <v>0.193</v>
      </c>
      <c r="H91" s="8">
        <v>0.29499999999999998</v>
      </c>
      <c r="I91" s="6">
        <f t="shared" si="2"/>
        <v>0.20450000000000002</v>
      </c>
      <c r="J91">
        <f t="shared" si="3"/>
        <v>3.109796349173578E-2</v>
      </c>
    </row>
    <row r="92" spans="1:10" ht="15.6" x14ac:dyDescent="0.3">
      <c r="A92" s="7">
        <v>33870</v>
      </c>
      <c r="B92">
        <v>9</v>
      </c>
      <c r="E92" s="8">
        <v>0.26500000000000001</v>
      </c>
      <c r="F92" s="8">
        <v>0.155</v>
      </c>
      <c r="G92" s="8">
        <v>0.151</v>
      </c>
      <c r="H92" s="8">
        <v>0.23800000000000002</v>
      </c>
      <c r="I92" s="6">
        <f t="shared" si="2"/>
        <v>0.20225000000000001</v>
      </c>
      <c r="J92">
        <f t="shared" si="3"/>
        <v>2.8975204917308168E-2</v>
      </c>
    </row>
    <row r="93" spans="1:10" ht="15.6" x14ac:dyDescent="0.3">
      <c r="A93" s="7">
        <v>33877</v>
      </c>
      <c r="B93">
        <v>9</v>
      </c>
      <c r="E93" s="8">
        <v>0.14499999999999999</v>
      </c>
      <c r="F93" s="8">
        <v>0.16800000000000001</v>
      </c>
      <c r="G93" s="8">
        <v>0.23200000000000001</v>
      </c>
      <c r="H93" s="8">
        <v>0.247</v>
      </c>
      <c r="I93" s="6">
        <f t="shared" si="2"/>
        <v>0.19800000000000001</v>
      </c>
      <c r="J93">
        <f t="shared" si="3"/>
        <v>2.4606909598728556E-2</v>
      </c>
    </row>
    <row r="94" spans="1:10" ht="15.6" x14ac:dyDescent="0.3">
      <c r="A94" s="7">
        <v>33149</v>
      </c>
      <c r="B94">
        <v>10</v>
      </c>
      <c r="C94" s="14">
        <f>+AVERAGE(E94:H104)</f>
        <v>0.52000000000000013</v>
      </c>
      <c r="D94">
        <f>+STDEV(E94:H104)/SQRT(44)</f>
        <v>6.6795537000712321E-2</v>
      </c>
      <c r="E94" s="8">
        <v>1.7450000000000001</v>
      </c>
      <c r="F94" s="8">
        <v>1.7849999999999999</v>
      </c>
      <c r="G94" s="8">
        <v>1.6659999999999999</v>
      </c>
      <c r="H94" s="8">
        <v>1.2689999999999999</v>
      </c>
      <c r="I94" s="6">
        <f t="shared" si="2"/>
        <v>1.61625</v>
      </c>
      <c r="J94">
        <f t="shared" si="3"/>
        <v>0.1183605895839772</v>
      </c>
    </row>
    <row r="95" spans="1:10" ht="15.6" x14ac:dyDescent="0.3">
      <c r="A95" s="7">
        <v>33163</v>
      </c>
      <c r="B95">
        <v>10</v>
      </c>
      <c r="E95" s="8">
        <v>0.754</v>
      </c>
      <c r="F95" s="8">
        <v>0.59499999999999997</v>
      </c>
      <c r="G95" s="8">
        <v>0.99199999999999999</v>
      </c>
      <c r="H95" s="8">
        <v>0.95200000000000007</v>
      </c>
      <c r="I95" s="6">
        <f t="shared" si="2"/>
        <v>0.82325000000000004</v>
      </c>
      <c r="J95">
        <f t="shared" si="3"/>
        <v>9.2171375708513636E-2</v>
      </c>
    </row>
    <row r="96" spans="1:10" ht="15.6" x14ac:dyDescent="0.3">
      <c r="A96" s="7">
        <v>33177</v>
      </c>
      <c r="B96">
        <v>10</v>
      </c>
      <c r="E96" s="8">
        <v>1.23</v>
      </c>
      <c r="F96" s="8">
        <v>0.99199999999999999</v>
      </c>
      <c r="G96" s="8">
        <v>0.79300000000000004</v>
      </c>
      <c r="H96" s="8">
        <v>0.71399999999999997</v>
      </c>
      <c r="I96" s="6">
        <f t="shared" si="2"/>
        <v>0.93225000000000002</v>
      </c>
      <c r="J96">
        <f t="shared" si="3"/>
        <v>0.11519865088909073</v>
      </c>
    </row>
    <row r="97" spans="1:10" ht="15.6" x14ac:dyDescent="0.3">
      <c r="A97" s="7">
        <v>33513</v>
      </c>
      <c r="B97">
        <v>10</v>
      </c>
      <c r="E97" s="8">
        <v>0.32900000000000001</v>
      </c>
      <c r="F97" s="8">
        <v>0.27400000000000002</v>
      </c>
      <c r="G97" s="8">
        <v>0.309</v>
      </c>
      <c r="H97" s="8">
        <v>0.29699999999999999</v>
      </c>
      <c r="I97" s="6">
        <f t="shared" si="2"/>
        <v>0.30224999999999996</v>
      </c>
      <c r="J97">
        <f t="shared" si="3"/>
        <v>1.14990941672232E-2</v>
      </c>
    </row>
    <row r="98" spans="1:10" ht="15.6" x14ac:dyDescent="0.3">
      <c r="A98" s="7">
        <v>33520</v>
      </c>
      <c r="B98">
        <v>10</v>
      </c>
      <c r="E98" s="8">
        <v>0.161</v>
      </c>
      <c r="F98" s="8">
        <v>0.216</v>
      </c>
      <c r="G98" s="8">
        <v>0.254</v>
      </c>
      <c r="H98" s="8">
        <v>0.254</v>
      </c>
      <c r="I98" s="6">
        <f t="shared" si="2"/>
        <v>0.22125</v>
      </c>
      <c r="J98">
        <f t="shared" si="3"/>
        <v>2.1990054570191542E-2</v>
      </c>
    </row>
    <row r="99" spans="1:10" ht="15.6" x14ac:dyDescent="0.3">
      <c r="A99" s="7">
        <v>33527</v>
      </c>
      <c r="B99">
        <v>10</v>
      </c>
      <c r="E99" s="8">
        <v>0.39400000000000002</v>
      </c>
      <c r="F99" s="8">
        <v>0.629</v>
      </c>
      <c r="G99" s="8">
        <v>0.63200000000000001</v>
      </c>
      <c r="H99" s="8">
        <v>0.68700000000000006</v>
      </c>
      <c r="I99" s="6">
        <f t="shared" si="2"/>
        <v>0.58550000000000013</v>
      </c>
      <c r="J99">
        <f t="shared" si="3"/>
        <v>6.5210556405129905E-2</v>
      </c>
    </row>
    <row r="100" spans="1:10" ht="15.6" x14ac:dyDescent="0.3">
      <c r="A100" s="7">
        <v>33542</v>
      </c>
      <c r="B100">
        <v>10</v>
      </c>
      <c r="E100" s="8">
        <v>0.126</v>
      </c>
      <c r="F100" s="8">
        <v>0.254</v>
      </c>
      <c r="G100" s="8">
        <v>0.2</v>
      </c>
      <c r="H100" s="8">
        <v>0.28999999999999998</v>
      </c>
      <c r="I100" s="6">
        <f t="shared" si="2"/>
        <v>0.21750000000000003</v>
      </c>
      <c r="J100">
        <f t="shared" si="3"/>
        <v>3.5668613654023552E-2</v>
      </c>
    </row>
    <row r="101" spans="1:10" ht="15.6" x14ac:dyDescent="0.3">
      <c r="A101" s="7">
        <v>33884</v>
      </c>
      <c r="B101">
        <v>10</v>
      </c>
      <c r="E101" s="8">
        <v>0.21</v>
      </c>
      <c r="F101" s="8">
        <v>0.23400000000000001</v>
      </c>
      <c r="G101" s="8">
        <v>0.28800000000000003</v>
      </c>
      <c r="H101" s="8">
        <v>0.14699999999999999</v>
      </c>
      <c r="I101" s="6">
        <f t="shared" si="2"/>
        <v>0.21975</v>
      </c>
      <c r="J101">
        <f t="shared" si="3"/>
        <v>2.922434772582615E-2</v>
      </c>
    </row>
    <row r="102" spans="1:10" ht="15.6" x14ac:dyDescent="0.3">
      <c r="A102" s="7">
        <v>33891</v>
      </c>
      <c r="B102">
        <v>10</v>
      </c>
      <c r="E102" s="8">
        <v>0.221</v>
      </c>
      <c r="F102" s="8">
        <v>0.25600000000000001</v>
      </c>
      <c r="G102" s="8">
        <v>0.27900000000000003</v>
      </c>
      <c r="H102" s="8">
        <v>0.32100000000000001</v>
      </c>
      <c r="I102" s="6">
        <f t="shared" si="2"/>
        <v>0.26924999999999999</v>
      </c>
      <c r="J102">
        <f t="shared" si="3"/>
        <v>2.0969720233390596E-2</v>
      </c>
    </row>
    <row r="103" spans="1:10" ht="15.6" x14ac:dyDescent="0.3">
      <c r="A103" s="7">
        <v>33897</v>
      </c>
      <c r="B103">
        <v>10</v>
      </c>
      <c r="E103" s="8">
        <v>0.34400000000000003</v>
      </c>
      <c r="F103" s="8">
        <v>0.26900000000000002</v>
      </c>
      <c r="G103" s="8">
        <v>0.25</v>
      </c>
      <c r="H103" s="8">
        <v>0.26</v>
      </c>
      <c r="I103" s="6">
        <f t="shared" si="2"/>
        <v>0.28075</v>
      </c>
      <c r="J103">
        <f t="shared" si="3"/>
        <v>2.1437408891934701E-2</v>
      </c>
    </row>
    <row r="104" spans="1:10" ht="15.6" x14ac:dyDescent="0.3">
      <c r="A104" s="7">
        <v>33906</v>
      </c>
      <c r="B104">
        <v>10</v>
      </c>
      <c r="E104" s="8">
        <v>0.253</v>
      </c>
      <c r="F104" s="8">
        <v>0.26200000000000001</v>
      </c>
      <c r="G104" s="8">
        <v>0.2</v>
      </c>
      <c r="H104" s="8">
        <v>0.29299999999999998</v>
      </c>
      <c r="I104" s="6">
        <f t="shared" si="2"/>
        <v>0.252</v>
      </c>
      <c r="J104">
        <f t="shared" si="3"/>
        <v>1.9334770061558336E-2</v>
      </c>
    </row>
    <row r="105" spans="1:10" ht="15.6" x14ac:dyDescent="0.3">
      <c r="A105" s="7">
        <v>33185</v>
      </c>
      <c r="B105">
        <v>11</v>
      </c>
      <c r="C105" s="14">
        <f>+AVERAGE(E105:H114)</f>
        <v>0.39738888888888896</v>
      </c>
      <c r="D105">
        <f>+STDEV(E105:H115)/SQRT(36)</f>
        <v>4.4561514950373554E-2</v>
      </c>
      <c r="E105" s="9"/>
      <c r="F105" s="9"/>
      <c r="G105" s="9"/>
      <c r="H105" s="9"/>
      <c r="I105" s="6"/>
    </row>
    <row r="106" spans="1:10" ht="15.6" x14ac:dyDescent="0.3">
      <c r="A106" s="7">
        <v>33191</v>
      </c>
      <c r="B106">
        <v>11</v>
      </c>
      <c r="E106" s="8">
        <v>0.71399999999999997</v>
      </c>
      <c r="F106" s="8">
        <v>0.754</v>
      </c>
      <c r="G106" s="8">
        <v>0.95200000000000007</v>
      </c>
      <c r="H106" s="8">
        <v>0.83299999999999996</v>
      </c>
      <c r="I106" s="6">
        <f t="shared" si="2"/>
        <v>0.81325000000000003</v>
      </c>
      <c r="J106">
        <f t="shared" si="3"/>
        <v>5.2442627381421657E-2</v>
      </c>
    </row>
    <row r="107" spans="1:10" ht="15.6" x14ac:dyDescent="0.3">
      <c r="A107" s="7">
        <v>33206</v>
      </c>
      <c r="B107">
        <v>11</v>
      </c>
      <c r="E107" s="8">
        <v>0.91200000000000003</v>
      </c>
      <c r="F107" s="8">
        <v>0.39700000000000002</v>
      </c>
      <c r="G107" s="8">
        <v>0.51600000000000001</v>
      </c>
      <c r="H107" s="8">
        <v>0.55500000000000005</v>
      </c>
      <c r="I107" s="6">
        <f t="shared" si="2"/>
        <v>0.59500000000000008</v>
      </c>
      <c r="J107">
        <f t="shared" si="3"/>
        <v>0.11088056637661969</v>
      </c>
    </row>
    <row r="108" spans="1:10" ht="15.6" x14ac:dyDescent="0.3">
      <c r="A108" s="7">
        <v>33550</v>
      </c>
      <c r="B108">
        <v>11</v>
      </c>
      <c r="E108" s="8">
        <v>0.155</v>
      </c>
      <c r="F108" s="8">
        <v>0.17400000000000002</v>
      </c>
      <c r="G108" s="8">
        <v>0.11900000000000001</v>
      </c>
      <c r="H108" s="8">
        <v>0.193</v>
      </c>
      <c r="I108" s="6">
        <f t="shared" si="2"/>
        <v>0.16025</v>
      </c>
      <c r="J108">
        <f t="shared" si="3"/>
        <v>1.5786993591772557E-2</v>
      </c>
    </row>
    <row r="109" spans="1:10" ht="15.6" x14ac:dyDescent="0.3">
      <c r="A109" s="7">
        <v>33556</v>
      </c>
      <c r="B109">
        <v>11</v>
      </c>
      <c r="E109" s="8">
        <v>0.79600000000000004</v>
      </c>
      <c r="F109" s="8">
        <v>0.91800000000000004</v>
      </c>
      <c r="G109" s="8">
        <v>0.81200000000000006</v>
      </c>
      <c r="H109" s="8">
        <v>0.91500000000000004</v>
      </c>
      <c r="I109" s="6">
        <f t="shared" si="2"/>
        <v>0.86024999999999996</v>
      </c>
      <c r="J109">
        <f t="shared" si="3"/>
        <v>3.2645507603139924E-2</v>
      </c>
    </row>
    <row r="110" spans="1:10" ht="15.6" x14ac:dyDescent="0.3">
      <c r="A110" s="7">
        <v>33562</v>
      </c>
      <c r="B110">
        <v>11</v>
      </c>
      <c r="E110" s="8">
        <v>0.223</v>
      </c>
      <c r="F110" s="8">
        <v>0.16800000000000001</v>
      </c>
      <c r="G110" s="8">
        <v>0.187</v>
      </c>
      <c r="H110" s="8">
        <v>0.35100000000000003</v>
      </c>
      <c r="I110" s="6">
        <f t="shared" si="2"/>
        <v>0.23225000000000001</v>
      </c>
      <c r="J110">
        <f t="shared" si="3"/>
        <v>4.1193395506237823E-2</v>
      </c>
    </row>
    <row r="111" spans="1:10" ht="15.6" x14ac:dyDescent="0.3">
      <c r="A111" s="7">
        <v>33912</v>
      </c>
      <c r="B111">
        <v>11</v>
      </c>
      <c r="E111" s="8">
        <v>0.22</v>
      </c>
      <c r="F111" s="8">
        <v>0.23400000000000001</v>
      </c>
      <c r="G111" s="8">
        <v>0.21099999999999999</v>
      </c>
      <c r="H111" s="8">
        <v>0.189</v>
      </c>
      <c r="I111" s="6">
        <f t="shared" si="2"/>
        <v>0.21350000000000002</v>
      </c>
      <c r="J111">
        <f t="shared" si="3"/>
        <v>9.4383967565118479E-3</v>
      </c>
    </row>
    <row r="112" spans="1:10" ht="15.6" x14ac:dyDescent="0.3">
      <c r="A112" s="7">
        <v>33919</v>
      </c>
      <c r="B112">
        <v>11</v>
      </c>
      <c r="E112" s="8">
        <v>0.29499999999999998</v>
      </c>
      <c r="F112" s="8">
        <v>0.253</v>
      </c>
      <c r="G112" s="8">
        <v>0.29899999999999999</v>
      </c>
      <c r="H112" s="8">
        <v>0.26800000000000002</v>
      </c>
      <c r="I112" s="6">
        <f t="shared" si="2"/>
        <v>0.27875</v>
      </c>
      <c r="J112">
        <f t="shared" si="3"/>
        <v>1.1002840542332687E-2</v>
      </c>
    </row>
    <row r="113" spans="1:10" ht="15.6" x14ac:dyDescent="0.3">
      <c r="A113" s="7">
        <v>33925</v>
      </c>
      <c r="B113">
        <v>11</v>
      </c>
      <c r="E113" s="8">
        <v>0.19900000000000001</v>
      </c>
      <c r="F113" s="8">
        <v>0.224</v>
      </c>
      <c r="G113" s="8">
        <v>0.185</v>
      </c>
      <c r="H113" s="8">
        <v>0.24</v>
      </c>
      <c r="I113" s="6">
        <f t="shared" si="2"/>
        <v>0.21200000000000002</v>
      </c>
      <c r="J113">
        <f t="shared" si="3"/>
        <v>1.2335585379975349E-2</v>
      </c>
    </row>
    <row r="114" spans="1:10" ht="15.6" x14ac:dyDescent="0.3">
      <c r="A114" s="7">
        <v>33933</v>
      </c>
      <c r="B114">
        <v>11</v>
      </c>
      <c r="E114" s="8">
        <v>0.24</v>
      </c>
      <c r="F114" s="8">
        <v>0.20800000000000002</v>
      </c>
      <c r="G114" s="8">
        <v>0.19</v>
      </c>
      <c r="H114" s="8">
        <v>0.20700000000000002</v>
      </c>
      <c r="I114" s="6">
        <f t="shared" si="2"/>
        <v>0.21124999999999999</v>
      </c>
      <c r="J114">
        <f t="shared" si="3"/>
        <v>1.0435316637904824E-2</v>
      </c>
    </row>
    <row r="115" spans="1:10" ht="15.6" x14ac:dyDescent="0.3">
      <c r="A115" s="7">
        <v>33220</v>
      </c>
      <c r="B115">
        <v>12</v>
      </c>
      <c r="C115" s="14">
        <f>+AVERAGE(E115:H122)</f>
        <v>0.49290625000000005</v>
      </c>
      <c r="D115">
        <f>+STDEV(E115:H122)/SQRT(32)</f>
        <v>7.1773969798774567E-2</v>
      </c>
      <c r="E115" s="8">
        <v>0.55500000000000005</v>
      </c>
      <c r="F115" s="8">
        <v>0.55500000000000005</v>
      </c>
      <c r="G115" s="8">
        <v>0.51600000000000001</v>
      </c>
      <c r="H115" s="8">
        <v>0.39700000000000002</v>
      </c>
      <c r="I115" s="6">
        <f t="shared" si="2"/>
        <v>0.50575000000000003</v>
      </c>
      <c r="J115">
        <f t="shared" si="3"/>
        <v>3.7397359532458922E-2</v>
      </c>
    </row>
    <row r="116" spans="1:10" ht="15.6" x14ac:dyDescent="0.3">
      <c r="A116" s="7">
        <v>33576</v>
      </c>
      <c r="B116">
        <v>12</v>
      </c>
      <c r="E116" s="8">
        <v>0.28100000000000003</v>
      </c>
      <c r="F116" s="8">
        <v>0.223</v>
      </c>
      <c r="G116" s="8">
        <v>0.152</v>
      </c>
      <c r="H116" s="8">
        <v>0.39</v>
      </c>
      <c r="I116" s="6">
        <f t="shared" si="2"/>
        <v>0.26150000000000001</v>
      </c>
      <c r="J116">
        <f t="shared" si="3"/>
        <v>5.0303247078758932E-2</v>
      </c>
    </row>
    <row r="117" spans="1:10" ht="15.6" x14ac:dyDescent="0.3">
      <c r="A117" s="7">
        <v>33583</v>
      </c>
      <c r="B117">
        <v>12</v>
      </c>
      <c r="E117" s="8">
        <v>1.222</v>
      </c>
      <c r="F117" s="8">
        <v>1.222</v>
      </c>
      <c r="G117" s="8">
        <v>1.1120000000000001</v>
      </c>
      <c r="H117" s="8">
        <v>0.91200000000000003</v>
      </c>
      <c r="I117" s="6">
        <f t="shared" si="2"/>
        <v>1.117</v>
      </c>
      <c r="J117">
        <f t="shared" si="3"/>
        <v>7.3086706497602738E-2</v>
      </c>
    </row>
    <row r="118" spans="1:10" ht="15.6" x14ac:dyDescent="0.3">
      <c r="A118" s="7">
        <v>33591</v>
      </c>
      <c r="B118">
        <v>12</v>
      </c>
      <c r="E118" s="8">
        <v>0.64100000000000001</v>
      </c>
      <c r="F118" s="8">
        <v>1.0629999999999999</v>
      </c>
      <c r="G118" s="8">
        <v>0.999</v>
      </c>
      <c r="H118" s="8">
        <v>1.7410000000000001</v>
      </c>
      <c r="I118" s="6">
        <f t="shared" si="2"/>
        <v>1.111</v>
      </c>
      <c r="J118">
        <f t="shared" si="3"/>
        <v>0.2296098139598276</v>
      </c>
    </row>
    <row r="119" spans="1:10" ht="15.6" x14ac:dyDescent="0.3">
      <c r="A119" s="7">
        <v>33940</v>
      </c>
      <c r="B119">
        <v>12</v>
      </c>
      <c r="E119" s="8">
        <v>0.24399999999999999</v>
      </c>
      <c r="F119" s="8">
        <v>0.22600000000000001</v>
      </c>
      <c r="G119" s="8">
        <v>0.28600000000000003</v>
      </c>
      <c r="H119" s="8">
        <v>0.27200000000000002</v>
      </c>
      <c r="I119" s="6">
        <f t="shared" si="2"/>
        <v>0.25700000000000001</v>
      </c>
      <c r="J119">
        <f t="shared" si="3"/>
        <v>1.352774925846869E-2</v>
      </c>
    </row>
    <row r="120" spans="1:10" ht="15.6" x14ac:dyDescent="0.3">
      <c r="A120" s="7">
        <v>33948</v>
      </c>
      <c r="B120">
        <v>12</v>
      </c>
      <c r="E120" s="8">
        <v>0.26400000000000001</v>
      </c>
      <c r="F120" s="8">
        <v>0.245</v>
      </c>
      <c r="G120" s="8">
        <v>0.30499999999999999</v>
      </c>
      <c r="H120" s="8">
        <v>0.214</v>
      </c>
      <c r="I120" s="6">
        <f t="shared" si="2"/>
        <v>0.25700000000000001</v>
      </c>
      <c r="J120">
        <f t="shared" si="3"/>
        <v>1.9030676989184279E-2</v>
      </c>
    </row>
    <row r="121" spans="1:10" ht="15.6" x14ac:dyDescent="0.3">
      <c r="A121" s="7">
        <v>33956</v>
      </c>
      <c r="B121">
        <v>12</v>
      </c>
      <c r="E121" s="8">
        <v>0.23100000000000001</v>
      </c>
      <c r="F121" s="8">
        <v>0.23600000000000002</v>
      </c>
      <c r="G121" s="8">
        <v>0.26400000000000001</v>
      </c>
      <c r="H121" s="8">
        <v>0.222</v>
      </c>
      <c r="I121" s="6">
        <f t="shared" si="2"/>
        <v>0.23825000000000002</v>
      </c>
      <c r="J121">
        <f t="shared" si="3"/>
        <v>9.0588354659967198E-3</v>
      </c>
    </row>
    <row r="122" spans="1:10" ht="15.6" x14ac:dyDescent="0.3">
      <c r="A122" s="7">
        <v>33961</v>
      </c>
      <c r="B122">
        <v>12</v>
      </c>
      <c r="E122" s="8">
        <v>0.19800000000000001</v>
      </c>
      <c r="F122" s="8">
        <v>0.19800000000000001</v>
      </c>
      <c r="G122" s="8">
        <v>0.19800000000000001</v>
      </c>
      <c r="H122" s="8">
        <v>0.189</v>
      </c>
      <c r="I122" s="6">
        <f t="shared" si="2"/>
        <v>0.19575000000000004</v>
      </c>
      <c r="J122">
        <f t="shared" si="3"/>
        <v>2.250000000000002E-3</v>
      </c>
    </row>
    <row r="124" spans="1:10" x14ac:dyDescent="0.3">
      <c r="A124" t="s">
        <v>29</v>
      </c>
      <c r="B124">
        <f>+COUNT(B3:B122)</f>
        <v>120</v>
      </c>
    </row>
    <row r="126" spans="1:10" x14ac:dyDescent="0.3">
      <c r="A126" t="s">
        <v>32</v>
      </c>
    </row>
    <row r="127" spans="1:10" x14ac:dyDescent="0.3">
      <c r="A127">
        <v>1990</v>
      </c>
      <c r="B127" t="s">
        <v>21</v>
      </c>
      <c r="C127" t="s">
        <v>31</v>
      </c>
      <c r="D127" t="s">
        <v>20</v>
      </c>
      <c r="E127" t="s">
        <v>23</v>
      </c>
      <c r="F127" t="s">
        <v>24</v>
      </c>
      <c r="G127" t="s">
        <v>25</v>
      </c>
      <c r="H127" t="s">
        <v>26</v>
      </c>
    </row>
    <row r="128" spans="1:10" x14ac:dyDescent="0.3">
      <c r="B128">
        <v>1</v>
      </c>
      <c r="C128">
        <f>+AVERAGE(E128:H129)</f>
        <v>9.8999999999999991E-2</v>
      </c>
      <c r="D128">
        <f>+STDEV(E128:H129)/SQRT(6)</f>
        <v>1.3662601021279476E-2</v>
      </c>
      <c r="G128">
        <v>7.9000000000000001E-2</v>
      </c>
      <c r="H128">
        <v>7.9000000000000001E-2</v>
      </c>
    </row>
    <row r="129" spans="2:8" x14ac:dyDescent="0.3">
      <c r="B129">
        <v>1</v>
      </c>
      <c r="E129">
        <v>0.159</v>
      </c>
      <c r="F129">
        <v>7.9000000000000001E-2</v>
      </c>
      <c r="G129">
        <v>0.11900000000000001</v>
      </c>
      <c r="H129">
        <v>7.9000000000000001E-2</v>
      </c>
    </row>
    <row r="130" spans="2:8" x14ac:dyDescent="0.3">
      <c r="B130">
        <v>2</v>
      </c>
      <c r="C130">
        <f>+AVERAGE(E130:H131)</f>
        <v>9.9000000000000019E-2</v>
      </c>
      <c r="D130">
        <f>+STDEV(E130:H131)/SQRT(3)</f>
        <v>1.154700538379248E-2</v>
      </c>
      <c r="E130">
        <v>0.11900000000000001</v>
      </c>
      <c r="F130">
        <v>9.9000000000000005E-2</v>
      </c>
      <c r="H130">
        <v>7.9000000000000001E-2</v>
      </c>
    </row>
    <row r="131" spans="2:8" x14ac:dyDescent="0.3">
      <c r="B131">
        <v>2</v>
      </c>
    </row>
    <row r="132" spans="2:8" x14ac:dyDescent="0.3">
      <c r="B132">
        <v>3</v>
      </c>
      <c r="C132" t="e">
        <f>+AVERAGE(E132:H133)</f>
        <v>#DIV/0!</v>
      </c>
      <c r="D132" t="e">
        <f>+STDEV(E132:H133)/SQRT(6)</f>
        <v>#DIV/0!</v>
      </c>
    </row>
    <row r="133" spans="2:8" x14ac:dyDescent="0.3">
      <c r="B133">
        <v>3</v>
      </c>
    </row>
    <row r="134" spans="2:8" x14ac:dyDescent="0.3">
      <c r="B134">
        <v>4</v>
      </c>
      <c r="C134" s="11">
        <f>+AVERAGE(E134:H135)</f>
        <v>8.0322499999999994</v>
      </c>
      <c r="D134" s="11">
        <f>+STDEV(E134:H135)/SQRT(4)</f>
        <v>1.0160990252759186</v>
      </c>
      <c r="E134" s="11"/>
      <c r="F134" s="11"/>
      <c r="G134" s="11"/>
      <c r="H134" s="11"/>
    </row>
    <row r="135" spans="2:8" x14ac:dyDescent="0.3">
      <c r="B135">
        <v>4</v>
      </c>
      <c r="C135" s="11"/>
      <c r="D135" s="11"/>
      <c r="E135" s="11">
        <v>10.313000000000001</v>
      </c>
      <c r="F135" s="11">
        <v>6.7430000000000003</v>
      </c>
      <c r="G135" s="11">
        <v>5.95</v>
      </c>
      <c r="H135" s="11">
        <v>9.1229999999999993</v>
      </c>
    </row>
    <row r="136" spans="2:8" x14ac:dyDescent="0.3">
      <c r="B136">
        <v>5</v>
      </c>
      <c r="C136">
        <f>+AVERAGE(E137:H138)</f>
        <v>0.94225000000000003</v>
      </c>
      <c r="D136">
        <f>+STDEV(E136:H137)/SQRT(11)</f>
        <v>0.88298990792034415</v>
      </c>
      <c r="F136" s="11">
        <v>5.95</v>
      </c>
      <c r="G136" s="11">
        <v>7.14</v>
      </c>
      <c r="H136" s="11">
        <v>5.95</v>
      </c>
    </row>
    <row r="137" spans="2:8" x14ac:dyDescent="0.3">
      <c r="B137">
        <v>5</v>
      </c>
      <c r="E137">
        <v>0.63500000000000001</v>
      </c>
      <c r="F137">
        <v>0.51600000000000001</v>
      </c>
      <c r="G137">
        <v>2.0630000000000002</v>
      </c>
      <c r="H137">
        <v>0.79300000000000004</v>
      </c>
    </row>
    <row r="138" spans="2:8" x14ac:dyDescent="0.3">
      <c r="B138">
        <v>5</v>
      </c>
      <c r="E138">
        <v>0.27800000000000002</v>
      </c>
      <c r="F138">
        <v>0.35699999999999998</v>
      </c>
      <c r="G138">
        <v>1.468</v>
      </c>
      <c r="H138">
        <v>1.4279999999999999</v>
      </c>
    </row>
    <row r="139" spans="2:8" x14ac:dyDescent="0.3">
      <c r="B139">
        <v>6</v>
      </c>
      <c r="C139">
        <f>+AVERAGE(E139:H140)</f>
        <v>0.56671428571428561</v>
      </c>
      <c r="D139">
        <f>+STDEV(E139:H140)/SQRT(7)</f>
        <v>9.7837015656923321E-2</v>
      </c>
      <c r="E139">
        <v>0.35699999999999998</v>
      </c>
      <c r="F139">
        <v>0.35699999999999998</v>
      </c>
      <c r="G139">
        <v>0.754</v>
      </c>
    </row>
    <row r="140" spans="2:8" x14ac:dyDescent="0.3">
      <c r="B140">
        <v>6</v>
      </c>
      <c r="E140">
        <v>0.59499999999999997</v>
      </c>
      <c r="F140">
        <v>0.71399999999999997</v>
      </c>
      <c r="G140">
        <v>0.95200000000000007</v>
      </c>
      <c r="H140">
        <v>0.23800000000000002</v>
      </c>
    </row>
    <row r="141" spans="2:8" x14ac:dyDescent="0.3">
      <c r="B141">
        <v>7</v>
      </c>
      <c r="C141">
        <f>+AVERAGE(E141:H142)</f>
        <v>0.56866666666666665</v>
      </c>
      <c r="D141">
        <f>+STDEV(E141:H142)/SQRT(3)</f>
        <v>0.1341197640585127</v>
      </c>
      <c r="E141">
        <v>0.39700000000000002</v>
      </c>
      <c r="F141">
        <v>0.47600000000000003</v>
      </c>
      <c r="G141">
        <v>0.83299999999999996</v>
      </c>
    </row>
    <row r="142" spans="2:8" x14ac:dyDescent="0.3">
      <c r="B142">
        <v>7</v>
      </c>
    </row>
    <row r="143" spans="2:8" x14ac:dyDescent="0.3">
      <c r="B143">
        <v>8</v>
      </c>
      <c r="C143">
        <f>+AVERAGE(E143:H144)</f>
        <v>1.0994285714285714</v>
      </c>
      <c r="D143">
        <f>+STDEV(E143:H144)/SQRT(7)</f>
        <v>0.42476407217042578</v>
      </c>
      <c r="E143">
        <v>1.0309999999999999</v>
      </c>
      <c r="G143">
        <v>0.63500000000000001</v>
      </c>
      <c r="H143">
        <v>0.59499999999999997</v>
      </c>
    </row>
    <row r="144" spans="2:8" x14ac:dyDescent="0.3">
      <c r="B144">
        <v>8</v>
      </c>
      <c r="E144">
        <v>3.61</v>
      </c>
      <c r="F144">
        <v>0.83299999999999996</v>
      </c>
      <c r="G144">
        <v>0.51600000000000001</v>
      </c>
      <c r="H144">
        <v>0.47600000000000003</v>
      </c>
    </row>
    <row r="145" spans="1:8" x14ac:dyDescent="0.3">
      <c r="B145">
        <v>9</v>
      </c>
      <c r="C145">
        <f>+AVERAGE(E145:H146)</f>
        <v>0.81312499999999999</v>
      </c>
      <c r="D145">
        <f>+STDEV(E145:H146)/SQRT(8)</f>
        <v>3.8942924123461911E-2</v>
      </c>
      <c r="E145">
        <v>0.91200000000000003</v>
      </c>
      <c r="F145">
        <v>0.91200000000000003</v>
      </c>
      <c r="G145">
        <v>0.873</v>
      </c>
      <c r="H145">
        <v>0.83299999999999996</v>
      </c>
    </row>
    <row r="146" spans="1:8" x14ac:dyDescent="0.3">
      <c r="B146">
        <v>9</v>
      </c>
      <c r="E146">
        <v>0.71399999999999997</v>
      </c>
      <c r="F146">
        <v>0.79300000000000004</v>
      </c>
      <c r="G146">
        <v>0.59499999999999997</v>
      </c>
      <c r="H146">
        <v>0.873</v>
      </c>
    </row>
    <row r="147" spans="1:8" x14ac:dyDescent="0.3">
      <c r="B147">
        <v>10</v>
      </c>
      <c r="C147">
        <f>+AVERAGE(E147:H149)</f>
        <v>1.1239166666666667</v>
      </c>
      <c r="D147">
        <f>+STDEV(E147:H148)/SQRT(12)</f>
        <v>0.13486128234667841</v>
      </c>
      <c r="E147">
        <v>1.7450000000000001</v>
      </c>
      <c r="F147">
        <v>1.7849999999999999</v>
      </c>
      <c r="G147">
        <v>1.6659999999999999</v>
      </c>
      <c r="H147">
        <v>1.2689999999999999</v>
      </c>
    </row>
    <row r="148" spans="1:8" x14ac:dyDescent="0.3">
      <c r="B148">
        <v>10</v>
      </c>
      <c r="E148">
        <v>0.754</v>
      </c>
      <c r="F148">
        <v>0.59499999999999997</v>
      </c>
      <c r="G148">
        <v>0.99199999999999999</v>
      </c>
      <c r="H148">
        <v>0.95200000000000007</v>
      </c>
    </row>
    <row r="149" spans="1:8" x14ac:dyDescent="0.3">
      <c r="B149">
        <v>10</v>
      </c>
      <c r="E149">
        <v>1.23</v>
      </c>
      <c r="F149">
        <v>0.99199999999999999</v>
      </c>
      <c r="G149">
        <v>0.79300000000000004</v>
      </c>
      <c r="H149">
        <v>0.71399999999999997</v>
      </c>
    </row>
    <row r="150" spans="1:8" x14ac:dyDescent="0.3">
      <c r="B150">
        <v>11</v>
      </c>
      <c r="C150">
        <f>+AVERAGE(E150:H152)</f>
        <v>0.704125</v>
      </c>
      <c r="D150">
        <f>+STDEV(E150:H151)/SQRT(8)</f>
        <v>3.7082537444642565E-2</v>
      </c>
    </row>
    <row r="151" spans="1:8" x14ac:dyDescent="0.3">
      <c r="B151">
        <v>11</v>
      </c>
      <c r="E151">
        <v>0.71399999999999997</v>
      </c>
      <c r="F151">
        <v>0.754</v>
      </c>
      <c r="G151">
        <v>0.95200000000000007</v>
      </c>
      <c r="H151">
        <v>0.83299999999999996</v>
      </c>
    </row>
    <row r="152" spans="1:8" x14ac:dyDescent="0.3">
      <c r="B152">
        <v>11</v>
      </c>
      <c r="E152">
        <v>0.91200000000000003</v>
      </c>
      <c r="F152">
        <v>0.39700000000000002</v>
      </c>
      <c r="G152">
        <v>0.51600000000000001</v>
      </c>
      <c r="H152">
        <v>0.55500000000000005</v>
      </c>
    </row>
    <row r="153" spans="1:8" x14ac:dyDescent="0.3">
      <c r="B153">
        <v>12</v>
      </c>
      <c r="C153">
        <f>+AVERAGE(E153:H154)</f>
        <v>0.50575000000000003</v>
      </c>
      <c r="D153">
        <f>+STDEV(E153:H154)/SQRT(4)</f>
        <v>3.7397359532458922E-2</v>
      </c>
      <c r="E153">
        <v>0.55500000000000005</v>
      </c>
      <c r="F153">
        <v>0.55500000000000005</v>
      </c>
      <c r="G153">
        <v>0.51600000000000001</v>
      </c>
      <c r="H153">
        <v>0.39700000000000002</v>
      </c>
    </row>
    <row r="155" spans="1:8" x14ac:dyDescent="0.3">
      <c r="A155">
        <v>1991</v>
      </c>
      <c r="B155" t="s">
        <v>21</v>
      </c>
      <c r="C155" t="s">
        <v>31</v>
      </c>
      <c r="D155" t="s">
        <v>20</v>
      </c>
      <c r="E155" t="s">
        <v>23</v>
      </c>
      <c r="F155" t="s">
        <v>24</v>
      </c>
      <c r="G155" t="s">
        <v>25</v>
      </c>
      <c r="H155" t="s">
        <v>26</v>
      </c>
    </row>
    <row r="156" spans="1:8" x14ac:dyDescent="0.3">
      <c r="B156">
        <v>1</v>
      </c>
      <c r="C156">
        <f>+AVERAGE(E156:H158)</f>
        <v>0.32241666666666668</v>
      </c>
      <c r="D156">
        <f>+STDEV(E156:H158)/SQRT(12)</f>
        <v>3.5925313590359303E-2</v>
      </c>
      <c r="E156">
        <v>0.46500000000000002</v>
      </c>
      <c r="F156">
        <v>0.40300000000000002</v>
      </c>
      <c r="G156">
        <v>0.313</v>
      </c>
      <c r="H156">
        <v>0.23900000000000002</v>
      </c>
    </row>
    <row r="157" spans="1:8" x14ac:dyDescent="0.3">
      <c r="B157">
        <v>1</v>
      </c>
      <c r="E157">
        <v>0.126</v>
      </c>
      <c r="F157">
        <v>0.255</v>
      </c>
      <c r="G157">
        <v>0.27400000000000002</v>
      </c>
      <c r="H157">
        <v>0.2</v>
      </c>
    </row>
    <row r="158" spans="1:8" x14ac:dyDescent="0.3">
      <c r="B158">
        <v>1</v>
      </c>
      <c r="E158">
        <v>0.48099999999999998</v>
      </c>
      <c r="F158">
        <v>0.223</v>
      </c>
      <c r="G158">
        <v>0.51900000000000002</v>
      </c>
      <c r="H158">
        <v>0.371</v>
      </c>
    </row>
    <row r="159" spans="1:8" x14ac:dyDescent="0.3">
      <c r="B159">
        <v>2</v>
      </c>
      <c r="C159">
        <f>+AVERAGE(E159:H160)</f>
        <v>0.23575000000000004</v>
      </c>
      <c r="D159">
        <f>+STDEV(E159:H160)/SQRT(8)</f>
        <v>2.6497809882543646E-2</v>
      </c>
      <c r="E159">
        <v>0.2</v>
      </c>
      <c r="F159">
        <v>0.223</v>
      </c>
      <c r="G159">
        <v>0.14899999999999999</v>
      </c>
      <c r="H159">
        <v>0.14899999999999999</v>
      </c>
    </row>
    <row r="160" spans="1:8" x14ac:dyDescent="0.3">
      <c r="B160">
        <v>2</v>
      </c>
      <c r="E160">
        <v>0.24199999999999999</v>
      </c>
      <c r="F160">
        <v>0.33200000000000002</v>
      </c>
      <c r="G160">
        <v>0.35199999999999998</v>
      </c>
      <c r="H160">
        <v>0.23900000000000002</v>
      </c>
    </row>
    <row r="161" spans="2:8" x14ac:dyDescent="0.3">
      <c r="B161">
        <v>3</v>
      </c>
      <c r="C161">
        <f>+AVERAGE(E161:H164)</f>
        <v>0.27631250000000002</v>
      </c>
      <c r="D161">
        <f>+STDEV(E161:H164)/SQRT(16)</f>
        <v>2.231754144725626E-2</v>
      </c>
      <c r="E161">
        <v>0.23499999999999999</v>
      </c>
      <c r="F161">
        <v>0.313</v>
      </c>
      <c r="G161">
        <v>0.309</v>
      </c>
      <c r="H161">
        <v>0.20300000000000001</v>
      </c>
    </row>
    <row r="162" spans="2:8" x14ac:dyDescent="0.3">
      <c r="B162">
        <v>3</v>
      </c>
      <c r="E162">
        <v>0.309</v>
      </c>
      <c r="F162">
        <v>0.38700000000000001</v>
      </c>
      <c r="G162">
        <v>0.32500000000000001</v>
      </c>
      <c r="H162">
        <v>0.52800000000000002</v>
      </c>
    </row>
    <row r="163" spans="2:8" x14ac:dyDescent="0.3">
      <c r="B163">
        <v>3</v>
      </c>
      <c r="E163">
        <v>0.27400000000000002</v>
      </c>
      <c r="F163">
        <v>0.26100000000000001</v>
      </c>
      <c r="G163">
        <v>0.16400000000000001</v>
      </c>
      <c r="H163">
        <v>0.24199999999999999</v>
      </c>
    </row>
    <row r="164" spans="2:8" x14ac:dyDescent="0.3">
      <c r="B164">
        <v>3</v>
      </c>
      <c r="E164">
        <v>0.26100000000000001</v>
      </c>
      <c r="F164">
        <v>0.184</v>
      </c>
      <c r="G164">
        <v>0.20300000000000001</v>
      </c>
      <c r="H164">
        <v>0.223</v>
      </c>
    </row>
    <row r="165" spans="2:8" x14ac:dyDescent="0.3">
      <c r="B165">
        <v>4</v>
      </c>
      <c r="C165">
        <f>+AVERAGE(E165:H168)</f>
        <v>0.18775</v>
      </c>
      <c r="D165">
        <f>+STDEV(E165:H168)/SQRT(16)</f>
        <v>1.7765720737795403E-2</v>
      </c>
      <c r="E165">
        <v>0.187</v>
      </c>
      <c r="F165">
        <v>9.4E-2</v>
      </c>
      <c r="G165">
        <v>9.7000000000000003E-2</v>
      </c>
      <c r="H165">
        <v>0.13600000000000001</v>
      </c>
    </row>
    <row r="166" spans="2:8" x14ac:dyDescent="0.3">
      <c r="B166">
        <v>4</v>
      </c>
      <c r="E166">
        <v>0.191</v>
      </c>
      <c r="F166">
        <v>0.24199999999999999</v>
      </c>
      <c r="G166">
        <v>0.13300000000000001</v>
      </c>
      <c r="H166">
        <v>0.38300000000000001</v>
      </c>
    </row>
    <row r="167" spans="2:8" x14ac:dyDescent="0.3">
      <c r="B167">
        <v>4</v>
      </c>
      <c r="E167">
        <v>0.23499999999999999</v>
      </c>
      <c r="F167">
        <v>0.14899999999999999</v>
      </c>
      <c r="G167">
        <v>0.184</v>
      </c>
      <c r="H167">
        <v>0.23499999999999999</v>
      </c>
    </row>
    <row r="168" spans="2:8" x14ac:dyDescent="0.3">
      <c r="B168">
        <v>4</v>
      </c>
      <c r="E168">
        <v>0.184</v>
      </c>
      <c r="F168">
        <v>0.187</v>
      </c>
      <c r="G168">
        <v>0.129</v>
      </c>
      <c r="H168">
        <v>0.23800000000000002</v>
      </c>
    </row>
    <row r="169" spans="2:8" x14ac:dyDescent="0.3">
      <c r="B169">
        <v>5</v>
      </c>
      <c r="C169">
        <f>+AVERAGE(E169:H172)</f>
        <v>0.1424</v>
      </c>
      <c r="D169">
        <f>+STDEV(E169:H172)/SQRT(15)</f>
        <v>1.8384724508082664E-2</v>
      </c>
      <c r="E169">
        <v>0.14799999999999999</v>
      </c>
      <c r="F169">
        <v>7.8E-2</v>
      </c>
      <c r="G169">
        <v>7.8E-2</v>
      </c>
      <c r="H169">
        <v>0.182</v>
      </c>
    </row>
    <row r="170" spans="2:8" x14ac:dyDescent="0.3">
      <c r="B170">
        <v>5</v>
      </c>
      <c r="E170">
        <v>0.26100000000000001</v>
      </c>
      <c r="F170">
        <v>7.8E-2</v>
      </c>
      <c r="G170">
        <v>0.13200000000000001</v>
      </c>
      <c r="H170">
        <v>0.11600000000000001</v>
      </c>
    </row>
    <row r="171" spans="2:8" x14ac:dyDescent="0.3">
      <c r="B171">
        <v>5</v>
      </c>
      <c r="F171">
        <v>0.16800000000000001</v>
      </c>
      <c r="G171">
        <v>0.20300000000000001</v>
      </c>
      <c r="H171">
        <v>0.27700000000000002</v>
      </c>
    </row>
    <row r="172" spans="2:8" x14ac:dyDescent="0.3">
      <c r="B172">
        <v>5</v>
      </c>
      <c r="E172">
        <v>7.6999999999999999E-2</v>
      </c>
      <c r="F172">
        <v>4.2000000000000003E-2</v>
      </c>
      <c r="G172">
        <v>9.7000000000000003E-2</v>
      </c>
      <c r="H172">
        <v>0.19900000000000001</v>
      </c>
    </row>
    <row r="173" spans="2:8" x14ac:dyDescent="0.3">
      <c r="B173">
        <v>6</v>
      </c>
      <c r="C173">
        <f>+AVERAGE(E173:H176)</f>
        <v>0.24020000000000002</v>
      </c>
      <c r="D173">
        <f>+STDEV(E173:H176)/SQRT(10)</f>
        <v>2.8393974321636924E-2</v>
      </c>
      <c r="E173">
        <v>0.222</v>
      </c>
      <c r="F173">
        <v>0.35100000000000003</v>
      </c>
      <c r="H173">
        <v>0.28000000000000003</v>
      </c>
    </row>
    <row r="174" spans="2:8" x14ac:dyDescent="0.3">
      <c r="B174">
        <v>6</v>
      </c>
    </row>
    <row r="175" spans="2:8" x14ac:dyDescent="0.3">
      <c r="B175">
        <v>6</v>
      </c>
      <c r="E175">
        <v>0.11</v>
      </c>
      <c r="F175">
        <v>0.184</v>
      </c>
      <c r="G175">
        <v>0.29299999999999998</v>
      </c>
      <c r="H175">
        <v>0.38300000000000001</v>
      </c>
    </row>
    <row r="176" spans="2:8" x14ac:dyDescent="0.3">
      <c r="B176">
        <v>6</v>
      </c>
      <c r="E176">
        <v>0.125</v>
      </c>
      <c r="G176">
        <v>0.254</v>
      </c>
      <c r="H176">
        <v>0.2</v>
      </c>
    </row>
    <row r="177" spans="2:8" x14ac:dyDescent="0.3">
      <c r="B177">
        <v>7</v>
      </c>
      <c r="C177">
        <f>+AVERAGE(E177:H181)</f>
        <v>0.26484999999999997</v>
      </c>
      <c r="D177">
        <f>+STDEV(E177:H179)/SQRT(20)</f>
        <v>5.232112384114089E-2</v>
      </c>
      <c r="E177">
        <v>0.125</v>
      </c>
      <c r="F177">
        <v>0.219</v>
      </c>
      <c r="G177">
        <v>0.23100000000000001</v>
      </c>
      <c r="H177">
        <v>0.89900000000000002</v>
      </c>
    </row>
    <row r="178" spans="2:8" x14ac:dyDescent="0.3">
      <c r="B178">
        <v>7</v>
      </c>
      <c r="E178">
        <v>0.21199999999999999</v>
      </c>
      <c r="F178">
        <v>0.161</v>
      </c>
      <c r="G178">
        <v>0.38300000000000001</v>
      </c>
      <c r="H178">
        <v>0.58599999999999997</v>
      </c>
    </row>
    <row r="179" spans="2:8" x14ac:dyDescent="0.3">
      <c r="B179">
        <v>7</v>
      </c>
      <c r="E179">
        <v>0.14499999999999999</v>
      </c>
      <c r="F179">
        <v>0.161</v>
      </c>
      <c r="G179">
        <v>0.157</v>
      </c>
      <c r="H179">
        <v>0.45300000000000001</v>
      </c>
    </row>
    <row r="180" spans="2:8" x14ac:dyDescent="0.3">
      <c r="B180">
        <v>7</v>
      </c>
      <c r="E180">
        <v>7.3999999999999996E-2</v>
      </c>
      <c r="F180">
        <v>0.14499999999999999</v>
      </c>
      <c r="G180">
        <v>0.14499999999999999</v>
      </c>
      <c r="H180">
        <v>0.219</v>
      </c>
    </row>
    <row r="181" spans="2:8" x14ac:dyDescent="0.3">
      <c r="B181">
        <v>7</v>
      </c>
      <c r="E181">
        <v>0.34400000000000003</v>
      </c>
      <c r="F181">
        <v>0.25800000000000001</v>
      </c>
      <c r="G181">
        <v>0.17699999999999999</v>
      </c>
      <c r="H181">
        <v>0.20300000000000001</v>
      </c>
    </row>
    <row r="182" spans="2:8" x14ac:dyDescent="0.3">
      <c r="B182">
        <v>8</v>
      </c>
      <c r="C182">
        <f>+AVERAGE(E182:H186)</f>
        <v>0.30015000000000003</v>
      </c>
      <c r="D182">
        <f>+STDEV(E182:H184)/SQRT(20)</f>
        <v>2.1744452444732002E-2</v>
      </c>
      <c r="E182">
        <v>0.56700000000000006</v>
      </c>
      <c r="F182">
        <v>0.42199999999999999</v>
      </c>
      <c r="G182">
        <v>0.40600000000000003</v>
      </c>
      <c r="H182">
        <v>0.38300000000000001</v>
      </c>
    </row>
    <row r="183" spans="2:8" x14ac:dyDescent="0.3">
      <c r="B183">
        <v>8</v>
      </c>
      <c r="E183">
        <v>0.309</v>
      </c>
      <c r="F183">
        <v>0.32800000000000001</v>
      </c>
      <c r="G183">
        <v>0.33200000000000002</v>
      </c>
      <c r="H183">
        <v>0.27700000000000002</v>
      </c>
    </row>
    <row r="184" spans="2:8" x14ac:dyDescent="0.3">
      <c r="B184">
        <v>8</v>
      </c>
      <c r="E184">
        <v>0.219</v>
      </c>
      <c r="F184">
        <v>0.29299999999999998</v>
      </c>
      <c r="G184">
        <v>0.254</v>
      </c>
      <c r="H184">
        <v>0.23800000000000002</v>
      </c>
    </row>
    <row r="185" spans="2:8" x14ac:dyDescent="0.3">
      <c r="B185">
        <v>8</v>
      </c>
      <c r="E185">
        <v>0.27400000000000002</v>
      </c>
      <c r="F185">
        <v>0.36699999999999999</v>
      </c>
      <c r="G185">
        <v>0.27700000000000002</v>
      </c>
      <c r="H185">
        <v>0.33500000000000002</v>
      </c>
    </row>
    <row r="186" spans="2:8" x14ac:dyDescent="0.3">
      <c r="B186">
        <v>9</v>
      </c>
      <c r="C186">
        <f>+AVERAGE(E186:H189)</f>
        <v>0.19243749999999996</v>
      </c>
      <c r="D186">
        <f>+STDEV(E186:H189)/SQRT(16)</f>
        <v>1.9372439346917607E-2</v>
      </c>
      <c r="E186">
        <v>0.14799999999999999</v>
      </c>
      <c r="F186">
        <v>0.14799999999999999</v>
      </c>
      <c r="G186">
        <v>0.313</v>
      </c>
      <c r="H186">
        <v>0.113</v>
      </c>
    </row>
    <row r="187" spans="2:8" x14ac:dyDescent="0.3">
      <c r="B187">
        <v>9</v>
      </c>
      <c r="E187">
        <v>0.25800000000000001</v>
      </c>
      <c r="F187">
        <v>0.29299999999999998</v>
      </c>
      <c r="G187">
        <v>0.25800000000000001</v>
      </c>
      <c r="H187">
        <v>0.313</v>
      </c>
    </row>
    <row r="188" spans="2:8" x14ac:dyDescent="0.3">
      <c r="B188">
        <v>9</v>
      </c>
      <c r="E188">
        <v>0.129</v>
      </c>
      <c r="F188">
        <v>0.187</v>
      </c>
      <c r="G188">
        <v>0.219</v>
      </c>
      <c r="H188">
        <v>0.184</v>
      </c>
    </row>
    <row r="189" spans="2:8" x14ac:dyDescent="0.3">
      <c r="B189">
        <v>9</v>
      </c>
      <c r="E189">
        <v>0.09</v>
      </c>
      <c r="F189">
        <v>0.113</v>
      </c>
      <c r="G189">
        <v>9.4E-2</v>
      </c>
      <c r="H189">
        <v>0.219</v>
      </c>
    </row>
    <row r="190" spans="2:8" x14ac:dyDescent="0.3">
      <c r="B190">
        <v>10</v>
      </c>
      <c r="C190">
        <f>+AVERAGE(E190:H193)</f>
        <v>0.33162500000000006</v>
      </c>
      <c r="D190">
        <f>+STDEV(E190:H193)/SQRT(16)</f>
        <v>4.2611410345899881E-2</v>
      </c>
      <c r="E190">
        <v>0.32900000000000001</v>
      </c>
      <c r="F190">
        <v>0.27400000000000002</v>
      </c>
      <c r="G190">
        <v>0.309</v>
      </c>
      <c r="H190">
        <v>0.29699999999999999</v>
      </c>
    </row>
    <row r="191" spans="2:8" x14ac:dyDescent="0.3">
      <c r="B191">
        <v>10</v>
      </c>
      <c r="E191">
        <v>0.161</v>
      </c>
      <c r="F191">
        <v>0.216</v>
      </c>
      <c r="G191">
        <v>0.254</v>
      </c>
      <c r="H191">
        <v>0.254</v>
      </c>
    </row>
    <row r="192" spans="2:8" x14ac:dyDescent="0.3">
      <c r="B192">
        <v>10</v>
      </c>
      <c r="E192">
        <v>0.39400000000000002</v>
      </c>
      <c r="F192">
        <v>0.629</v>
      </c>
      <c r="G192">
        <v>0.63200000000000001</v>
      </c>
      <c r="H192">
        <v>0.68700000000000006</v>
      </c>
    </row>
    <row r="193" spans="2:8" x14ac:dyDescent="0.3">
      <c r="B193">
        <v>10</v>
      </c>
      <c r="E193">
        <v>0.126</v>
      </c>
      <c r="F193">
        <v>0.254</v>
      </c>
      <c r="G193">
        <v>0.2</v>
      </c>
      <c r="H193">
        <v>0.28999999999999998</v>
      </c>
    </row>
    <row r="194" spans="2:8" x14ac:dyDescent="0.3">
      <c r="B194">
        <v>11</v>
      </c>
      <c r="C194">
        <f>+AVERAGE(E194:H196)</f>
        <v>0.41758333333333336</v>
      </c>
      <c r="D194">
        <f>+STDEV(E194:H196)/SQRT(9)</f>
        <v>0.11111159722115886</v>
      </c>
      <c r="E194">
        <v>0.155</v>
      </c>
      <c r="F194">
        <v>0.17400000000000002</v>
      </c>
      <c r="G194">
        <v>0.11900000000000001</v>
      </c>
      <c r="H194">
        <v>0.193</v>
      </c>
    </row>
    <row r="195" spans="2:8" x14ac:dyDescent="0.3">
      <c r="B195">
        <v>11</v>
      </c>
      <c r="E195">
        <v>0.79600000000000004</v>
      </c>
      <c r="F195">
        <v>0.91800000000000004</v>
      </c>
      <c r="G195">
        <v>0.81200000000000006</v>
      </c>
      <c r="H195">
        <v>0.91500000000000004</v>
      </c>
    </row>
    <row r="196" spans="2:8" x14ac:dyDescent="0.3">
      <c r="B196">
        <v>11</v>
      </c>
      <c r="E196">
        <v>0.223</v>
      </c>
      <c r="F196">
        <v>0.16800000000000001</v>
      </c>
      <c r="G196">
        <v>0.187</v>
      </c>
      <c r="H196">
        <v>0.35100000000000003</v>
      </c>
    </row>
    <row r="197" spans="2:8" x14ac:dyDescent="0.3">
      <c r="B197">
        <v>12</v>
      </c>
      <c r="C197">
        <f>+AVERAGE(E197:H199)</f>
        <v>0.82983333333333331</v>
      </c>
      <c r="D197">
        <f>+STDEV(E197:H199)/SQRT(9)</f>
        <v>0.16407689952040469</v>
      </c>
      <c r="E197">
        <v>0.28100000000000003</v>
      </c>
      <c r="F197">
        <v>0.223</v>
      </c>
      <c r="G197">
        <v>0.152</v>
      </c>
      <c r="H197">
        <v>0.39</v>
      </c>
    </row>
    <row r="198" spans="2:8" x14ac:dyDescent="0.3">
      <c r="B198">
        <v>12</v>
      </c>
      <c r="E198">
        <v>1.222</v>
      </c>
      <c r="F198">
        <v>1.222</v>
      </c>
      <c r="G198">
        <v>1.1120000000000001</v>
      </c>
      <c r="H198">
        <v>0.91200000000000003</v>
      </c>
    </row>
    <row r="199" spans="2:8" x14ac:dyDescent="0.3">
      <c r="B199">
        <v>12</v>
      </c>
      <c r="E199">
        <v>0.64100000000000001</v>
      </c>
      <c r="F199">
        <v>1.0629999999999999</v>
      </c>
      <c r="G199">
        <v>0.999</v>
      </c>
      <c r="H199">
        <v>1.7410000000000001</v>
      </c>
    </row>
    <row r="201" spans="2:8" x14ac:dyDescent="0.3">
      <c r="B201" t="s">
        <v>21</v>
      </c>
      <c r="C201" t="s">
        <v>31</v>
      </c>
      <c r="D201" t="s">
        <v>20</v>
      </c>
      <c r="E201" t="s">
        <v>23</v>
      </c>
      <c r="F201" t="s">
        <v>24</v>
      </c>
      <c r="G201" t="s">
        <v>25</v>
      </c>
      <c r="H201" t="s">
        <v>26</v>
      </c>
    </row>
    <row r="202" spans="2:8" ht="15.6" x14ac:dyDescent="0.3">
      <c r="B202">
        <v>1</v>
      </c>
      <c r="C202">
        <f>+AVERAGE(E202:H204)</f>
        <v>0.1940833333333333</v>
      </c>
      <c r="D202">
        <f>+STDEV(E202:H204)/SQRT(9)</f>
        <v>1.2815283121393873E-2</v>
      </c>
      <c r="E202" s="8">
        <v>0.20300000000000001</v>
      </c>
      <c r="F202" s="8">
        <v>0.17599999999999999</v>
      </c>
      <c r="G202" s="8">
        <v>0.21299999999999999</v>
      </c>
      <c r="H202" s="8">
        <v>0.14799999999999999</v>
      </c>
    </row>
    <row r="203" spans="2:8" ht="15.6" x14ac:dyDescent="0.3">
      <c r="B203">
        <v>1</v>
      </c>
      <c r="E203" s="8">
        <v>0.16700000000000001</v>
      </c>
      <c r="F203" s="8">
        <v>0.152</v>
      </c>
      <c r="G203" s="8">
        <v>0.186</v>
      </c>
      <c r="H203" s="8">
        <v>0.24199999999999999</v>
      </c>
    </row>
    <row r="204" spans="2:8" ht="15.6" x14ac:dyDescent="0.3">
      <c r="B204">
        <v>1</v>
      </c>
      <c r="E204" s="8">
        <v>0.27800000000000002</v>
      </c>
      <c r="F204" s="8">
        <v>0.20200000000000001</v>
      </c>
      <c r="G204" s="8">
        <v>0.20400000000000001</v>
      </c>
      <c r="H204" s="8">
        <v>0.158</v>
      </c>
    </row>
    <row r="205" spans="2:8" ht="15.6" x14ac:dyDescent="0.3">
      <c r="B205">
        <v>2</v>
      </c>
      <c r="C205">
        <f>+AVERAGE(E205:H207)</f>
        <v>0.33341666666666664</v>
      </c>
      <c r="D205">
        <f>+STDEV(E205:H207)/SQRT(9)</f>
        <v>3.014525720551306E-2</v>
      </c>
      <c r="E205" s="8">
        <v>0.27900000000000003</v>
      </c>
      <c r="F205" s="8">
        <v>0.52300000000000002</v>
      </c>
      <c r="G205" s="8">
        <v>0.38900000000000001</v>
      </c>
      <c r="H205" s="8">
        <v>0.38900000000000001</v>
      </c>
    </row>
    <row r="206" spans="2:8" ht="15.6" x14ac:dyDescent="0.3">
      <c r="B206">
        <v>2</v>
      </c>
      <c r="E206" s="8">
        <v>0.33700000000000002</v>
      </c>
      <c r="F206" s="8">
        <v>0.23100000000000001</v>
      </c>
      <c r="G206" s="8">
        <v>0.17100000000000001</v>
      </c>
      <c r="H206" s="8">
        <v>0.26800000000000002</v>
      </c>
    </row>
    <row r="207" spans="2:8" ht="15.6" x14ac:dyDescent="0.3">
      <c r="B207">
        <v>2</v>
      </c>
      <c r="E207" s="8">
        <v>0.38400000000000001</v>
      </c>
      <c r="F207" s="8">
        <v>0.36599999999999999</v>
      </c>
      <c r="G207" s="8">
        <v>0.33900000000000002</v>
      </c>
      <c r="H207" s="8">
        <v>0.32500000000000001</v>
      </c>
    </row>
    <row r="208" spans="2:8" ht="15.6" x14ac:dyDescent="0.3">
      <c r="B208">
        <v>3</v>
      </c>
      <c r="C208" s="14">
        <f>+AVERAGE(E208:H211)</f>
        <v>0.37625000000000003</v>
      </c>
      <c r="D208">
        <f>+STDEV(E208:H211)/SQRT(12)</f>
        <v>2.5906348428307791E-2</v>
      </c>
      <c r="E208" s="8">
        <v>0.27900000000000003</v>
      </c>
      <c r="F208" s="8">
        <v>0.52300000000000002</v>
      </c>
      <c r="G208" s="8">
        <v>0.38900000000000001</v>
      </c>
      <c r="H208" s="8">
        <v>0.38900000000000001</v>
      </c>
    </row>
    <row r="209" spans="2:8" ht="15.6" x14ac:dyDescent="0.3">
      <c r="B209">
        <v>3</v>
      </c>
      <c r="E209" s="8">
        <v>0.3</v>
      </c>
      <c r="F209" s="8">
        <v>0.39200000000000002</v>
      </c>
      <c r="G209" s="8">
        <v>0.28300000000000003</v>
      </c>
      <c r="H209" s="8">
        <v>0.30099999999999999</v>
      </c>
    </row>
    <row r="210" spans="2:8" ht="15.6" x14ac:dyDescent="0.3">
      <c r="B210">
        <v>3</v>
      </c>
      <c r="E210" s="8">
        <v>0.36199999999999999</v>
      </c>
      <c r="F210" s="8">
        <v>0.27200000000000002</v>
      </c>
      <c r="G210" s="8">
        <v>0.36099999999999999</v>
      </c>
      <c r="H210" s="8">
        <v>0.34499999999999997</v>
      </c>
    </row>
    <row r="211" spans="2:8" ht="15.6" x14ac:dyDescent="0.3">
      <c r="B211">
        <v>3</v>
      </c>
      <c r="E211" s="8">
        <v>0.54600000000000004</v>
      </c>
      <c r="F211" s="8">
        <v>0.37</v>
      </c>
      <c r="G211" s="8">
        <v>0.54300000000000004</v>
      </c>
      <c r="H211" s="8">
        <v>0.36499999999999999</v>
      </c>
    </row>
    <row r="212" spans="2:8" ht="15.6" x14ac:dyDescent="0.3">
      <c r="B212">
        <v>4</v>
      </c>
      <c r="C212" s="14">
        <f>+AVERAGE(E212:H216)</f>
        <v>0.24165</v>
      </c>
      <c r="D212">
        <f>+STDEV(E212:H216)/SQRT(20)</f>
        <v>1.3220055537744671E-2</v>
      </c>
      <c r="E212" s="8">
        <v>0.33200000000000002</v>
      </c>
      <c r="F212" s="8">
        <v>0.26400000000000001</v>
      </c>
      <c r="G212" s="8">
        <v>0.28700000000000003</v>
      </c>
      <c r="H212" s="8">
        <v>0.185</v>
      </c>
    </row>
    <row r="213" spans="2:8" ht="15.6" x14ac:dyDescent="0.3">
      <c r="B213">
        <v>4</v>
      </c>
      <c r="E213" s="8">
        <v>0.26300000000000001</v>
      </c>
      <c r="F213" s="8">
        <v>0.34200000000000003</v>
      </c>
      <c r="G213" s="8">
        <v>0.26400000000000001</v>
      </c>
      <c r="H213" s="8">
        <v>0.20300000000000001</v>
      </c>
    </row>
    <row r="214" spans="2:8" ht="15.6" x14ac:dyDescent="0.3">
      <c r="B214">
        <v>4</v>
      </c>
      <c r="E214" s="8">
        <v>0.245</v>
      </c>
      <c r="F214" s="8">
        <v>0.26400000000000001</v>
      </c>
      <c r="G214" s="8">
        <v>0.29799999999999999</v>
      </c>
      <c r="H214" s="8">
        <v>0.27300000000000002</v>
      </c>
    </row>
    <row r="215" spans="2:8" ht="15.6" x14ac:dyDescent="0.3">
      <c r="B215">
        <v>4</v>
      </c>
      <c r="E215" s="8">
        <v>0.152</v>
      </c>
      <c r="F215" s="8">
        <v>0.121</v>
      </c>
      <c r="G215" s="8">
        <v>0.26900000000000002</v>
      </c>
      <c r="H215" s="8">
        <v>0.157</v>
      </c>
    </row>
    <row r="216" spans="2:8" ht="15.6" x14ac:dyDescent="0.3">
      <c r="B216">
        <v>4</v>
      </c>
      <c r="E216" s="8">
        <v>0.247</v>
      </c>
      <c r="F216" s="8">
        <v>0.26</v>
      </c>
      <c r="G216" s="8">
        <v>0.23100000000000001</v>
      </c>
      <c r="H216" s="8">
        <v>0.17599999999999999</v>
      </c>
    </row>
    <row r="217" spans="2:8" ht="15.6" x14ac:dyDescent="0.3">
      <c r="B217">
        <v>5</v>
      </c>
      <c r="C217" s="14">
        <f>+AVERAGE(E217:H220)</f>
        <v>0.20100000000000001</v>
      </c>
      <c r="D217">
        <f>+STDEV(E217:H220)/SQRT(16)</f>
        <v>1.2007983455462735E-2</v>
      </c>
      <c r="E217" s="8">
        <v>0.151</v>
      </c>
      <c r="F217" s="8">
        <v>0.185</v>
      </c>
      <c r="G217" s="8">
        <v>0.157</v>
      </c>
      <c r="H217" s="8">
        <v>0.23100000000000001</v>
      </c>
    </row>
    <row r="218" spans="2:8" ht="15.6" x14ac:dyDescent="0.3">
      <c r="B218">
        <v>5</v>
      </c>
      <c r="E218" s="8">
        <v>0.14799999999999999</v>
      </c>
      <c r="F218" s="8">
        <v>0.23100000000000001</v>
      </c>
      <c r="G218" s="8">
        <v>0.185</v>
      </c>
      <c r="H218" s="8">
        <v>0.16400000000000001</v>
      </c>
    </row>
    <row r="219" spans="2:8" ht="15.6" x14ac:dyDescent="0.3">
      <c r="B219">
        <v>5</v>
      </c>
      <c r="E219" s="8">
        <v>0.25</v>
      </c>
      <c r="F219" s="8">
        <v>0.161</v>
      </c>
      <c r="G219" s="8">
        <v>0.185</v>
      </c>
      <c r="H219" s="8">
        <v>0.30599999999999999</v>
      </c>
    </row>
    <row r="220" spans="2:8" ht="15.6" x14ac:dyDescent="0.3">
      <c r="B220">
        <v>5</v>
      </c>
      <c r="E220" s="8">
        <v>0.247</v>
      </c>
      <c r="F220" s="8">
        <v>0.21199999999999999</v>
      </c>
      <c r="G220" s="8">
        <v>0.14599999999999999</v>
      </c>
      <c r="H220" s="8">
        <v>0.25700000000000001</v>
      </c>
    </row>
    <row r="221" spans="2:8" ht="15.6" x14ac:dyDescent="0.3">
      <c r="B221">
        <v>6</v>
      </c>
      <c r="C221" s="14">
        <f>+AVERAGE(E221:H224)</f>
        <v>0.38086666666666674</v>
      </c>
      <c r="D221">
        <f>+STDEV(E221:H224)/SQRT(15)</f>
        <v>2.1850981598669481E-2</v>
      </c>
      <c r="E221" s="8">
        <v>0.52100000000000002</v>
      </c>
      <c r="F221" s="8">
        <v>0.434</v>
      </c>
      <c r="G221" s="8">
        <v>0.40900000000000003</v>
      </c>
      <c r="H221" s="8">
        <v>0.39700000000000002</v>
      </c>
    </row>
    <row r="222" spans="2:8" ht="15.6" x14ac:dyDescent="0.3">
      <c r="B222">
        <v>6</v>
      </c>
      <c r="E222" s="8">
        <v>0.36199999999999999</v>
      </c>
      <c r="F222" s="8">
        <v>0.37</v>
      </c>
      <c r="G222" s="8">
        <v>0.32100000000000001</v>
      </c>
      <c r="H222" s="8"/>
    </row>
    <row r="223" spans="2:8" ht="15.6" x14ac:dyDescent="0.3">
      <c r="B223">
        <v>6</v>
      </c>
      <c r="E223" s="8">
        <v>0.40900000000000003</v>
      </c>
      <c r="F223" s="8">
        <v>0.26</v>
      </c>
      <c r="G223" s="8">
        <v>0.432</v>
      </c>
      <c r="H223" s="8">
        <v>0.55300000000000005</v>
      </c>
    </row>
    <row r="224" spans="2:8" ht="15.6" x14ac:dyDescent="0.3">
      <c r="B224">
        <v>6</v>
      </c>
      <c r="E224" s="8">
        <v>0.27400000000000002</v>
      </c>
      <c r="F224" s="8">
        <v>0.312</v>
      </c>
      <c r="G224" s="8">
        <v>0.28700000000000003</v>
      </c>
      <c r="H224" s="8">
        <v>0.372</v>
      </c>
    </row>
    <row r="225" spans="2:8" ht="15.6" x14ac:dyDescent="0.3">
      <c r="B225">
        <v>7</v>
      </c>
      <c r="C225" s="14">
        <f>+AVERAGE(E225:H229)</f>
        <v>0.25964999999999999</v>
      </c>
      <c r="D225">
        <f>+STDEV(E225:H229)/SQRT(25)</f>
        <v>1.2329728728821102E-2</v>
      </c>
      <c r="E225" s="8">
        <v>0.20300000000000001</v>
      </c>
      <c r="F225" s="8">
        <v>0.24199999999999999</v>
      </c>
      <c r="G225" s="8">
        <v>0.38700000000000001</v>
      </c>
      <c r="H225" s="8">
        <v>0.31900000000000001</v>
      </c>
    </row>
    <row r="226" spans="2:8" ht="15.6" x14ac:dyDescent="0.3">
      <c r="B226">
        <v>7</v>
      </c>
      <c r="E226" s="8">
        <v>0.128</v>
      </c>
      <c r="F226" s="8">
        <v>0.17400000000000002</v>
      </c>
      <c r="G226" s="8">
        <v>0.184</v>
      </c>
      <c r="H226" s="8">
        <v>0.25800000000000001</v>
      </c>
    </row>
    <row r="227" spans="2:8" ht="15.6" x14ac:dyDescent="0.3">
      <c r="B227">
        <v>7</v>
      </c>
      <c r="E227" s="8">
        <v>0.3</v>
      </c>
      <c r="F227" s="8">
        <v>0.29399999999999998</v>
      </c>
      <c r="G227" s="8">
        <v>0.308</v>
      </c>
      <c r="H227" s="8">
        <v>0.22600000000000001</v>
      </c>
    </row>
    <row r="228" spans="2:8" ht="15.6" x14ac:dyDescent="0.3">
      <c r="B228">
        <v>7</v>
      </c>
      <c r="E228" s="8">
        <v>0.27600000000000002</v>
      </c>
      <c r="F228" s="8">
        <v>0.317</v>
      </c>
      <c r="G228" s="8">
        <v>0.30399999999999999</v>
      </c>
      <c r="H228" s="8">
        <v>0.25900000000000001</v>
      </c>
    </row>
    <row r="229" spans="2:8" ht="15.6" x14ac:dyDescent="0.3">
      <c r="B229">
        <v>7</v>
      </c>
      <c r="E229" s="8">
        <v>0.221</v>
      </c>
      <c r="F229" s="8">
        <v>0.23100000000000001</v>
      </c>
      <c r="G229" s="8">
        <v>0.23900000000000002</v>
      </c>
      <c r="H229" s="8">
        <v>0.32300000000000001</v>
      </c>
    </row>
    <row r="230" spans="2:8" ht="15.6" x14ac:dyDescent="0.3">
      <c r="B230">
        <v>8</v>
      </c>
      <c r="C230" s="14">
        <f>+AVERAGE(E230:H233)</f>
        <v>0.24074999999999996</v>
      </c>
      <c r="D230">
        <f>+STDEV(E230:H233)/SQRT(16)</f>
        <v>2.1698598265018583E-2</v>
      </c>
      <c r="E230" s="8">
        <v>0.20499999999999999</v>
      </c>
      <c r="F230" s="8">
        <v>0.16</v>
      </c>
      <c r="G230" s="8">
        <v>0.17799999999999999</v>
      </c>
      <c r="H230" s="8">
        <v>0.28300000000000003</v>
      </c>
    </row>
    <row r="231" spans="2:8" ht="15.6" x14ac:dyDescent="0.3">
      <c r="B231">
        <v>8</v>
      </c>
      <c r="E231" s="8">
        <v>0.193</v>
      </c>
      <c r="F231" s="8">
        <v>0.14100000000000001</v>
      </c>
      <c r="G231" s="8">
        <v>0.218</v>
      </c>
      <c r="H231" s="8">
        <v>0.27700000000000002</v>
      </c>
    </row>
    <row r="232" spans="2:8" ht="15.6" x14ac:dyDescent="0.3">
      <c r="B232">
        <v>8</v>
      </c>
      <c r="E232" s="8">
        <v>0.49</v>
      </c>
      <c r="F232" s="8">
        <v>0.151</v>
      </c>
      <c r="G232" s="8">
        <v>0.17</v>
      </c>
      <c r="H232" s="8">
        <v>0.22500000000000001</v>
      </c>
    </row>
    <row r="233" spans="2:8" ht="15.6" x14ac:dyDescent="0.3">
      <c r="B233">
        <v>8</v>
      </c>
      <c r="E233" s="8">
        <v>0.29799999999999999</v>
      </c>
      <c r="F233" s="8">
        <v>0.28000000000000003</v>
      </c>
      <c r="G233" s="8">
        <v>0.29399999999999998</v>
      </c>
      <c r="H233" s="8">
        <v>0.28899999999999998</v>
      </c>
    </row>
    <row r="234" spans="2:8" ht="15.6" x14ac:dyDescent="0.3">
      <c r="B234">
        <v>9</v>
      </c>
      <c r="C234" s="14">
        <f>+AVERAGE(E234:H238)</f>
        <v>0.21814999999999998</v>
      </c>
      <c r="D234">
        <f>+STDEV(E234:H238)/SQRT(25)</f>
        <v>1.0400055667867216E-2</v>
      </c>
      <c r="E234" s="8">
        <v>0.188</v>
      </c>
      <c r="F234" s="8">
        <v>0.192</v>
      </c>
      <c r="G234" s="8">
        <v>0.25700000000000001</v>
      </c>
      <c r="H234" s="8">
        <v>0.26200000000000001</v>
      </c>
    </row>
    <row r="235" spans="2:8" ht="15.6" x14ac:dyDescent="0.3">
      <c r="B235">
        <v>9</v>
      </c>
      <c r="E235" s="8">
        <v>0.3</v>
      </c>
      <c r="F235" s="8">
        <v>0.27600000000000002</v>
      </c>
      <c r="G235" s="8">
        <v>0.193</v>
      </c>
      <c r="H235" s="8">
        <v>0.27600000000000002</v>
      </c>
    </row>
    <row r="236" spans="2:8" ht="15.6" x14ac:dyDescent="0.3">
      <c r="B236">
        <v>9</v>
      </c>
      <c r="E236" s="8">
        <v>0.156</v>
      </c>
      <c r="F236" s="8">
        <v>0.17400000000000002</v>
      </c>
      <c r="G236" s="8">
        <v>0.193</v>
      </c>
      <c r="H236" s="8">
        <v>0.29499999999999998</v>
      </c>
    </row>
    <row r="237" spans="2:8" ht="15.6" x14ac:dyDescent="0.3">
      <c r="B237">
        <v>9</v>
      </c>
      <c r="E237" s="8">
        <v>0.26500000000000001</v>
      </c>
      <c r="F237" s="8">
        <v>0.155</v>
      </c>
      <c r="G237" s="8">
        <v>0.151</v>
      </c>
      <c r="H237" s="8">
        <v>0.23800000000000002</v>
      </c>
    </row>
    <row r="238" spans="2:8" ht="15.6" x14ac:dyDescent="0.3">
      <c r="B238">
        <v>9</v>
      </c>
      <c r="E238" s="8">
        <v>0.14499999999999999</v>
      </c>
      <c r="F238" s="8">
        <v>0.16800000000000001</v>
      </c>
      <c r="G238" s="8">
        <v>0.23200000000000001</v>
      </c>
      <c r="H238" s="8">
        <v>0.247</v>
      </c>
    </row>
    <row r="239" spans="2:8" ht="15.6" x14ac:dyDescent="0.3">
      <c r="B239">
        <v>10</v>
      </c>
      <c r="C239" s="14">
        <f>+AVERAGE(E239:H242)</f>
        <v>0.25543750000000004</v>
      </c>
      <c r="D239">
        <f>+STDEV(E239:H242)/SQRT(16)</f>
        <v>1.190131951717956E-2</v>
      </c>
      <c r="E239" s="8">
        <v>0.21</v>
      </c>
      <c r="F239" s="8">
        <v>0.23400000000000001</v>
      </c>
      <c r="G239" s="8">
        <v>0.28800000000000003</v>
      </c>
      <c r="H239" s="8">
        <v>0.14699999999999999</v>
      </c>
    </row>
    <row r="240" spans="2:8" ht="15.6" x14ac:dyDescent="0.3">
      <c r="B240">
        <v>10</v>
      </c>
      <c r="E240" s="8">
        <v>0.221</v>
      </c>
      <c r="F240" s="8">
        <v>0.25600000000000001</v>
      </c>
      <c r="G240" s="8">
        <v>0.27900000000000003</v>
      </c>
      <c r="H240" s="8">
        <v>0.32100000000000001</v>
      </c>
    </row>
    <row r="241" spans="2:8" ht="15.6" x14ac:dyDescent="0.3">
      <c r="B241">
        <v>10</v>
      </c>
      <c r="E241" s="8">
        <v>0.34400000000000003</v>
      </c>
      <c r="F241" s="8">
        <v>0.26900000000000002</v>
      </c>
      <c r="G241" s="8">
        <v>0.25</v>
      </c>
      <c r="H241" s="8">
        <v>0.26</v>
      </c>
    </row>
    <row r="242" spans="2:8" ht="15.6" x14ac:dyDescent="0.3">
      <c r="B242">
        <v>10</v>
      </c>
      <c r="E242" s="8">
        <v>0.253</v>
      </c>
      <c r="F242" s="8">
        <v>0.26200000000000001</v>
      </c>
      <c r="G242" s="8">
        <v>0.2</v>
      </c>
      <c r="H242" s="8">
        <v>0.29299999999999998</v>
      </c>
    </row>
    <row r="243" spans="2:8" ht="15.6" x14ac:dyDescent="0.3">
      <c r="B243">
        <v>11</v>
      </c>
      <c r="C243" s="14">
        <f>+AVERAGE(E243:H246)</f>
        <v>0.22887500000000002</v>
      </c>
      <c r="D243">
        <f>+STDEV(E243:H246)/SQRT(16)</f>
        <v>8.8815703378775229E-3</v>
      </c>
      <c r="E243" s="8">
        <v>0.22</v>
      </c>
      <c r="F243" s="8">
        <v>0.23400000000000001</v>
      </c>
      <c r="G243" s="8">
        <v>0.21099999999999999</v>
      </c>
      <c r="H243" s="8">
        <v>0.189</v>
      </c>
    </row>
    <row r="244" spans="2:8" ht="15.6" x14ac:dyDescent="0.3">
      <c r="B244">
        <v>11</v>
      </c>
      <c r="E244" s="8">
        <v>0.29499999999999998</v>
      </c>
      <c r="F244" s="8">
        <v>0.253</v>
      </c>
      <c r="G244" s="8">
        <v>0.29899999999999999</v>
      </c>
      <c r="H244" s="8">
        <v>0.26800000000000002</v>
      </c>
    </row>
    <row r="245" spans="2:8" ht="15.6" x14ac:dyDescent="0.3">
      <c r="B245">
        <v>11</v>
      </c>
      <c r="E245" s="8">
        <v>0.19900000000000001</v>
      </c>
      <c r="F245" s="8">
        <v>0.224</v>
      </c>
      <c r="G245" s="8">
        <v>0.185</v>
      </c>
      <c r="H245" s="8">
        <v>0.24</v>
      </c>
    </row>
    <row r="246" spans="2:8" ht="15.6" x14ac:dyDescent="0.3">
      <c r="B246">
        <v>11</v>
      </c>
      <c r="E246" s="8">
        <v>0.24</v>
      </c>
      <c r="F246" s="8">
        <v>0.20800000000000002</v>
      </c>
      <c r="G246" s="8">
        <v>0.19</v>
      </c>
      <c r="H246" s="8">
        <v>0.20700000000000002</v>
      </c>
    </row>
    <row r="247" spans="2:8" ht="15.6" x14ac:dyDescent="0.3">
      <c r="B247">
        <v>12</v>
      </c>
      <c r="C247" s="14">
        <f>+AVERAGE(E247:H249)</f>
        <v>0.25074999999999997</v>
      </c>
      <c r="D247">
        <f>+STDEV(E247:H249)/SQRT(9)</f>
        <v>9.24648445342738E-3</v>
      </c>
      <c r="E247" s="8">
        <v>0.24399999999999999</v>
      </c>
      <c r="F247" s="8">
        <v>0.22600000000000001</v>
      </c>
      <c r="G247" s="8">
        <v>0.28600000000000003</v>
      </c>
      <c r="H247" s="8">
        <v>0.27200000000000002</v>
      </c>
    </row>
    <row r="248" spans="2:8" ht="15.6" x14ac:dyDescent="0.3">
      <c r="B248">
        <v>12</v>
      </c>
      <c r="E248" s="8">
        <v>0.26400000000000001</v>
      </c>
      <c r="F248" s="8">
        <v>0.245</v>
      </c>
      <c r="G248" s="8">
        <v>0.30499999999999999</v>
      </c>
      <c r="H248" s="8">
        <v>0.214</v>
      </c>
    </row>
    <row r="249" spans="2:8" ht="15.6" x14ac:dyDescent="0.3">
      <c r="B249">
        <v>12</v>
      </c>
      <c r="E249" s="8">
        <v>0.23100000000000001</v>
      </c>
      <c r="F249" s="8">
        <v>0.23600000000000002</v>
      </c>
      <c r="G249" s="8">
        <v>0.26400000000000001</v>
      </c>
      <c r="H249" s="8">
        <v>0.222</v>
      </c>
    </row>
    <row r="250" spans="2:8" ht="15.6" x14ac:dyDescent="0.3">
      <c r="B250">
        <v>12</v>
      </c>
      <c r="E250" s="8">
        <v>0.19800000000000001</v>
      </c>
      <c r="F250" s="8">
        <v>0.19800000000000001</v>
      </c>
      <c r="G250" s="8">
        <v>0.19800000000000001</v>
      </c>
      <c r="H250" s="8">
        <v>0.189</v>
      </c>
    </row>
  </sheetData>
  <autoFilter ref="A2:J1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6"/>
  <sheetViews>
    <sheetView workbookViewId="0">
      <selection activeCell="D2" sqref="D2"/>
    </sheetView>
  </sheetViews>
  <sheetFormatPr baseColWidth="10" defaultRowHeight="14.4" x14ac:dyDescent="0.3"/>
  <sheetData>
    <row r="1" spans="3:15" x14ac:dyDescent="0.3">
      <c r="D1" t="s">
        <v>36</v>
      </c>
    </row>
    <row r="2" spans="3:15" x14ac:dyDescent="0.3">
      <c r="D2" t="s">
        <v>35</v>
      </c>
    </row>
    <row r="3" spans="3:15" x14ac:dyDescent="0.3">
      <c r="D3" s="16">
        <v>1990</v>
      </c>
      <c r="E3" s="16"/>
      <c r="F3" s="16"/>
      <c r="G3" s="16"/>
      <c r="H3" s="16">
        <v>1991</v>
      </c>
      <c r="I3" s="16"/>
      <c r="J3" s="16"/>
      <c r="K3" s="16"/>
      <c r="L3" s="16">
        <v>1992</v>
      </c>
    </row>
    <row r="4" spans="3:15" x14ac:dyDescent="0.3">
      <c r="D4" t="s">
        <v>19</v>
      </c>
      <c r="E4" t="s">
        <v>20</v>
      </c>
      <c r="F4" t="s">
        <v>33</v>
      </c>
      <c r="G4" t="s">
        <v>20</v>
      </c>
      <c r="H4" t="s">
        <v>19</v>
      </c>
      <c r="I4" t="s">
        <v>20</v>
      </c>
      <c r="J4" t="s">
        <v>33</v>
      </c>
      <c r="K4" t="s">
        <v>20</v>
      </c>
      <c r="L4" t="s">
        <v>19</v>
      </c>
      <c r="M4" t="s">
        <v>20</v>
      </c>
      <c r="N4" t="s">
        <v>33</v>
      </c>
      <c r="O4" t="s">
        <v>20</v>
      </c>
    </row>
    <row r="5" spans="3:15" x14ac:dyDescent="0.3">
      <c r="C5">
        <v>1</v>
      </c>
      <c r="D5">
        <v>9.8999999999999991E-2</v>
      </c>
      <c r="E5">
        <v>1.3662601021279476E-2</v>
      </c>
      <c r="F5">
        <v>0.109</v>
      </c>
      <c r="G5">
        <v>1.9099999999999999E-2</v>
      </c>
      <c r="H5">
        <v>0.32241666666666668</v>
      </c>
      <c r="I5">
        <v>3.5925313590359303E-2</v>
      </c>
      <c r="J5">
        <v>0.39850000000000002</v>
      </c>
      <c r="K5">
        <v>6.6400000000000001E-2</v>
      </c>
      <c r="L5">
        <v>0.1940833333333333</v>
      </c>
      <c r="M5">
        <v>1.2815283121393873E-2</v>
      </c>
      <c r="N5">
        <v>0.21049999999999999</v>
      </c>
      <c r="O5">
        <v>2.4899999999999999E-2</v>
      </c>
    </row>
    <row r="6" spans="3:15" x14ac:dyDescent="0.3">
      <c r="C6">
        <v>2</v>
      </c>
      <c r="D6">
        <v>9.9000000000000019E-2</v>
      </c>
      <c r="E6">
        <v>1.154700538379248E-2</v>
      </c>
      <c r="F6">
        <v>7.4300000000000005E-2</v>
      </c>
      <c r="G6">
        <v>2.6100000000000002E-2</v>
      </c>
      <c r="H6">
        <v>0.23575000000000004</v>
      </c>
      <c r="I6">
        <v>2.6497809882543646E-2</v>
      </c>
      <c r="J6">
        <v>0.2913</v>
      </c>
      <c r="K6">
        <v>2.9600000000000001E-2</v>
      </c>
      <c r="L6">
        <v>0.33341666666666664</v>
      </c>
      <c r="M6">
        <v>3.014525720551306E-2</v>
      </c>
      <c r="N6">
        <v>0.39500000000000002</v>
      </c>
      <c r="O6">
        <v>4.99E-2</v>
      </c>
    </row>
    <row r="7" spans="3:15" x14ac:dyDescent="0.3">
      <c r="C7">
        <v>3</v>
      </c>
      <c r="H7">
        <v>0.27631250000000002</v>
      </c>
      <c r="I7">
        <v>2.231754144725626E-2</v>
      </c>
      <c r="J7">
        <v>0.38729999999999998</v>
      </c>
      <c r="K7">
        <v>4.9799999999999997E-2</v>
      </c>
      <c r="L7">
        <v>0.37625000000000003</v>
      </c>
      <c r="M7">
        <v>2.5906348428307791E-2</v>
      </c>
      <c r="N7">
        <v>0.45600000000000002</v>
      </c>
      <c r="O7">
        <v>5.11E-2</v>
      </c>
    </row>
    <row r="8" spans="3:15" x14ac:dyDescent="0.3">
      <c r="C8">
        <v>4</v>
      </c>
      <c r="H8">
        <v>0.18775</v>
      </c>
      <c r="I8">
        <v>1.7765720737795403E-2</v>
      </c>
      <c r="J8">
        <v>0.23730000000000001</v>
      </c>
      <c r="K8">
        <v>5.3400000000000003E-2</v>
      </c>
      <c r="L8">
        <v>0.24165</v>
      </c>
      <c r="M8">
        <v>1.3220055537744671E-2</v>
      </c>
      <c r="N8">
        <v>0.27</v>
      </c>
      <c r="O8">
        <v>1.0999999999999999E-2</v>
      </c>
    </row>
    <row r="9" spans="3:15" x14ac:dyDescent="0.3">
      <c r="C9">
        <v>5</v>
      </c>
      <c r="D9">
        <v>0.94225000000000003</v>
      </c>
      <c r="E9">
        <v>0.88298990792034415</v>
      </c>
      <c r="F9">
        <v>1.0017</v>
      </c>
      <c r="G9">
        <v>0.35830000000000001</v>
      </c>
      <c r="H9">
        <v>0.1424</v>
      </c>
      <c r="I9">
        <v>1.8384724508082664E-2</v>
      </c>
      <c r="J9">
        <v>0.216</v>
      </c>
      <c r="K9">
        <v>2.7799999999999998E-2</v>
      </c>
      <c r="L9">
        <v>0.20100000000000001</v>
      </c>
      <c r="M9">
        <v>1.2007983455462735E-2</v>
      </c>
      <c r="N9">
        <v>0.22550000000000001</v>
      </c>
      <c r="O9">
        <v>3.2800000000000003E-2</v>
      </c>
    </row>
    <row r="10" spans="3:15" x14ac:dyDescent="0.3">
      <c r="C10">
        <v>6</v>
      </c>
      <c r="D10">
        <v>0.56671428571428561</v>
      </c>
      <c r="E10">
        <v>9.7837015656923321E-2</v>
      </c>
      <c r="F10">
        <v>0.62480000000000002</v>
      </c>
      <c r="G10">
        <v>0.14879999999999999</v>
      </c>
      <c r="H10">
        <v>0.24020000000000002</v>
      </c>
      <c r="I10">
        <v>2.8393974321636924E-2</v>
      </c>
      <c r="J10">
        <v>0.2843</v>
      </c>
      <c r="K10">
        <v>3.2300000000000002E-2</v>
      </c>
      <c r="L10">
        <v>0.38086666666666674</v>
      </c>
      <c r="M10">
        <v>2.1850981598669481E-2</v>
      </c>
      <c r="N10">
        <v>0.44030000000000002</v>
      </c>
      <c r="O10">
        <v>2.8000000000000001E-2</v>
      </c>
    </row>
    <row r="11" spans="3:15" x14ac:dyDescent="0.3">
      <c r="C11">
        <v>7</v>
      </c>
      <c r="D11">
        <v>0.56866666666666665</v>
      </c>
      <c r="E11">
        <v>0.1341197640585127</v>
      </c>
      <c r="F11">
        <v>0.56869999999999998</v>
      </c>
      <c r="G11">
        <v>0.1162</v>
      </c>
      <c r="H11">
        <v>0.26484999999999997</v>
      </c>
      <c r="I11">
        <v>5.232112384114089E-2</v>
      </c>
      <c r="J11">
        <v>0.36849999999999999</v>
      </c>
      <c r="K11">
        <v>0.1784</v>
      </c>
      <c r="L11">
        <v>0.25964999999999999</v>
      </c>
      <c r="M11">
        <v>1.2329728728821102E-2</v>
      </c>
      <c r="N11">
        <v>0.28899999999999998</v>
      </c>
      <c r="O11">
        <v>1.32E-2</v>
      </c>
    </row>
    <row r="12" spans="3:15" x14ac:dyDescent="0.3">
      <c r="C12">
        <v>8</v>
      </c>
      <c r="D12">
        <v>1.0994285714285714</v>
      </c>
      <c r="E12">
        <v>0.42476407217042578</v>
      </c>
      <c r="F12">
        <v>1.3588</v>
      </c>
      <c r="G12">
        <v>0.75470000000000004</v>
      </c>
      <c r="H12">
        <v>0.30015000000000003</v>
      </c>
      <c r="I12">
        <v>2.1744452444732002E-2</v>
      </c>
      <c r="J12">
        <v>0.44450000000000001</v>
      </c>
      <c r="K12">
        <v>4.1599999999999998E-2</v>
      </c>
      <c r="L12">
        <v>0.24074999999999996</v>
      </c>
      <c r="M12">
        <v>2.1698598265018583E-2</v>
      </c>
      <c r="N12">
        <v>0.2903</v>
      </c>
      <c r="O12" s="17">
        <v>3.8809999999999999E-3</v>
      </c>
    </row>
    <row r="13" spans="3:15" x14ac:dyDescent="0.3">
      <c r="C13">
        <v>9</v>
      </c>
      <c r="D13">
        <v>0.81312499999999999</v>
      </c>
      <c r="E13">
        <v>3.8942924123461911E-2</v>
      </c>
      <c r="F13">
        <v>0.88249999999999995</v>
      </c>
      <c r="G13">
        <v>1.89E-2</v>
      </c>
      <c r="H13">
        <v>0.19243749999999996</v>
      </c>
      <c r="I13">
        <v>1.9372439346917607E-2</v>
      </c>
      <c r="J13">
        <v>0.28050000000000003</v>
      </c>
      <c r="K13">
        <v>1.3599999999999999E-2</v>
      </c>
      <c r="L13">
        <v>0.21814999999999998</v>
      </c>
      <c r="M13">
        <v>1.0400055667867216E-2</v>
      </c>
      <c r="N13">
        <v>0.26129999999999998</v>
      </c>
      <c r="O13">
        <v>2.3400000000000001E-2</v>
      </c>
    </row>
    <row r="14" spans="3:15" x14ac:dyDescent="0.3">
      <c r="C14">
        <v>10</v>
      </c>
      <c r="D14">
        <v>1.1239166666666667</v>
      </c>
      <c r="E14">
        <v>0.13486128234667841</v>
      </c>
      <c r="F14">
        <v>1.6163000000000001</v>
      </c>
      <c r="G14">
        <v>0.11840000000000001</v>
      </c>
      <c r="H14">
        <v>0.33162500000000006</v>
      </c>
      <c r="I14">
        <v>4.2611410345899881E-2</v>
      </c>
      <c r="J14">
        <v>0.58550000000000002</v>
      </c>
      <c r="K14">
        <v>6.5199999999999994E-2</v>
      </c>
      <c r="L14">
        <v>0.25543750000000004</v>
      </c>
      <c r="M14">
        <v>1.190131951717956E-2</v>
      </c>
      <c r="N14">
        <v>0.28079999999999999</v>
      </c>
      <c r="O14">
        <v>2.1399999999999999E-2</v>
      </c>
    </row>
    <row r="15" spans="3:15" x14ac:dyDescent="0.3">
      <c r="C15">
        <v>11</v>
      </c>
      <c r="D15">
        <v>0.704125</v>
      </c>
      <c r="E15">
        <v>3.7082537444642565E-2</v>
      </c>
      <c r="F15">
        <v>0.81330000000000002</v>
      </c>
      <c r="G15">
        <v>5.2400000000000002E-2</v>
      </c>
      <c r="H15">
        <v>0.41758333333333336</v>
      </c>
      <c r="I15">
        <v>0.11111159722115886</v>
      </c>
      <c r="J15">
        <v>0.86029999999999995</v>
      </c>
      <c r="K15">
        <v>3.2599999999999997E-2</v>
      </c>
      <c r="L15">
        <v>0.22887500000000002</v>
      </c>
      <c r="M15">
        <v>8.8815703378775229E-3</v>
      </c>
      <c r="N15">
        <v>0.27879999999999999</v>
      </c>
      <c r="O15">
        <v>1.0999999999999999E-2</v>
      </c>
    </row>
    <row r="16" spans="3:15" x14ac:dyDescent="0.3">
      <c r="C16">
        <v>12</v>
      </c>
      <c r="D16">
        <v>0.50575000000000003</v>
      </c>
      <c r="E16">
        <v>3.7397359532458922E-2</v>
      </c>
      <c r="F16">
        <v>0.50580000000000003</v>
      </c>
      <c r="G16">
        <v>3.7400000000000003E-2</v>
      </c>
      <c r="H16">
        <v>0.82983333333333331</v>
      </c>
      <c r="I16">
        <v>0.16407689952040469</v>
      </c>
      <c r="J16">
        <v>1.117</v>
      </c>
      <c r="K16">
        <v>7.3099999999999998E-2</v>
      </c>
      <c r="L16">
        <v>0.25074999999999997</v>
      </c>
      <c r="M16">
        <v>9.24648445342738E-3</v>
      </c>
      <c r="N16">
        <v>0.25700000000000001</v>
      </c>
      <c r="O16">
        <v>1.35E-2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workbookViewId="0">
      <selection activeCell="B26" sqref="B26"/>
    </sheetView>
  </sheetViews>
  <sheetFormatPr baseColWidth="10" defaultRowHeight="14.4" x14ac:dyDescent="0.3"/>
  <cols>
    <col min="3" max="3" width="26.88671875" customWidth="1"/>
  </cols>
  <sheetData>
    <row r="1" spans="2:10" x14ac:dyDescent="0.3">
      <c r="B1">
        <v>2003</v>
      </c>
    </row>
    <row r="2" spans="2:10" x14ac:dyDescent="0.3">
      <c r="B2" t="s">
        <v>21</v>
      </c>
      <c r="C2" t="s">
        <v>24</v>
      </c>
      <c r="D2" t="s">
        <v>37</v>
      </c>
      <c r="E2" t="s">
        <v>38</v>
      </c>
      <c r="F2" t="s">
        <v>41</v>
      </c>
      <c r="G2" t="s">
        <v>39</v>
      </c>
      <c r="H2" t="s">
        <v>40</v>
      </c>
      <c r="I2" s="19" t="s">
        <v>42</v>
      </c>
      <c r="J2" s="19" t="s">
        <v>20</v>
      </c>
    </row>
    <row r="3" spans="2:10" x14ac:dyDescent="0.3">
      <c r="B3" s="29">
        <v>37636</v>
      </c>
      <c r="C3">
        <v>0.59326666666666672</v>
      </c>
      <c r="D3">
        <v>0.5379208333333334</v>
      </c>
      <c r="E3">
        <v>0.4945708333333334</v>
      </c>
      <c r="F3">
        <v>0.66060000000000008</v>
      </c>
      <c r="G3">
        <v>0.50910000000000011</v>
      </c>
      <c r="H3">
        <v>0.54260000000000008</v>
      </c>
      <c r="I3" s="19">
        <f>+AVERAGE(C3:H3)</f>
        <v>0.55634305555555563</v>
      </c>
      <c r="J3" s="19">
        <f>+STDEV(C3:H3)/SQRT(6)</f>
        <v>2.5039187358006795E-2</v>
      </c>
    </row>
    <row r="4" spans="2:10" x14ac:dyDescent="0.3">
      <c r="B4" s="29">
        <v>37667</v>
      </c>
      <c r="C4">
        <v>0.52217083333333336</v>
      </c>
      <c r="D4">
        <v>0.38242083333333338</v>
      </c>
      <c r="E4">
        <v>0.5671291666666668</v>
      </c>
      <c r="F4">
        <v>0.43713333333333337</v>
      </c>
      <c r="G4">
        <v>0.54827500000000007</v>
      </c>
      <c r="H4">
        <v>0.44769734848484855</v>
      </c>
      <c r="I4" s="19">
        <f t="shared" ref="I4:I14" si="0">+AVERAGE(C4:H4)</f>
        <v>0.48413775252525254</v>
      </c>
      <c r="J4" s="19">
        <f t="shared" ref="J4:J14" si="1">+STDEV(C4:H4)/SQRT(6)</f>
        <v>2.9626185878192386E-2</v>
      </c>
    </row>
    <row r="5" spans="2:10" x14ac:dyDescent="0.3">
      <c r="B5" s="29">
        <v>37695</v>
      </c>
      <c r="C5">
        <v>0.73371604938271628</v>
      </c>
      <c r="D5">
        <v>0.90813456790123459</v>
      </c>
      <c r="E5">
        <v>0.57129444444444444</v>
      </c>
      <c r="F5">
        <v>0.83510833333333334</v>
      </c>
      <c r="G5">
        <v>0.53939444444444451</v>
      </c>
      <c r="H5">
        <v>0.38522777777777778</v>
      </c>
      <c r="I5" s="19">
        <f t="shared" si="0"/>
        <v>0.66214593621399176</v>
      </c>
      <c r="J5" s="19">
        <f t="shared" si="1"/>
        <v>8.0737076901037388E-2</v>
      </c>
    </row>
    <row r="6" spans="2:10" x14ac:dyDescent="0.3">
      <c r="B6" s="29">
        <v>37726</v>
      </c>
      <c r="C6">
        <v>0.83683750000000012</v>
      </c>
      <c r="D6">
        <v>0.7185208333333335</v>
      </c>
      <c r="E6">
        <v>0.6846916666666667</v>
      </c>
      <c r="F6">
        <v>0.99689333333333341</v>
      </c>
      <c r="G6">
        <v>0.65827916666666675</v>
      </c>
      <c r="H6">
        <v>0.65634583333333341</v>
      </c>
      <c r="I6" s="19">
        <f t="shared" si="0"/>
        <v>0.75859472222222235</v>
      </c>
      <c r="J6" s="19">
        <f t="shared" si="1"/>
        <v>5.492230405716355E-2</v>
      </c>
    </row>
    <row r="7" spans="2:10" x14ac:dyDescent="0.3">
      <c r="B7" s="29">
        <v>37756</v>
      </c>
      <c r="C7">
        <v>0.79154999999999998</v>
      </c>
      <c r="D7">
        <v>0.64329999999999998</v>
      </c>
      <c r="E7">
        <v>0.65910000000000013</v>
      </c>
      <c r="F7">
        <v>0.84589906716417917</v>
      </c>
      <c r="G7">
        <v>0.45436666666666675</v>
      </c>
      <c r="H7">
        <v>0.73291666666666666</v>
      </c>
      <c r="I7" s="19">
        <f t="shared" si="0"/>
        <v>0.68785540008291868</v>
      </c>
      <c r="J7" s="19">
        <f t="shared" si="1"/>
        <v>5.6299773192376619E-2</v>
      </c>
    </row>
    <row r="8" spans="2:10" x14ac:dyDescent="0.3">
      <c r="B8" s="29">
        <v>37787</v>
      </c>
      <c r="C8">
        <v>0.76066250000000002</v>
      </c>
      <c r="D8">
        <v>0.81122777777777777</v>
      </c>
      <c r="E8">
        <v>0.74936666666666685</v>
      </c>
      <c r="F8">
        <v>0.49906249999999996</v>
      </c>
      <c r="G8">
        <v>1.1043555555555558</v>
      </c>
      <c r="H8">
        <v>1.1835055555555556</v>
      </c>
      <c r="I8" s="19">
        <f t="shared" si="0"/>
        <v>0.85136342592592607</v>
      </c>
      <c r="J8" s="19">
        <f t="shared" si="1"/>
        <v>0.10306635750059098</v>
      </c>
    </row>
    <row r="9" spans="2:10" x14ac:dyDescent="0.3">
      <c r="B9" s="29">
        <v>37817</v>
      </c>
      <c r="C9">
        <v>0.71219333333333346</v>
      </c>
      <c r="D9">
        <v>0.83601666666666685</v>
      </c>
      <c r="E9">
        <v>0.77439333333333338</v>
      </c>
      <c r="F9">
        <v>0.21312083333333331</v>
      </c>
      <c r="G9">
        <v>0.7658166666666667</v>
      </c>
      <c r="H9">
        <v>0.58671585241730284</v>
      </c>
      <c r="I9" s="19">
        <f t="shared" si="0"/>
        <v>0.64804278095843948</v>
      </c>
      <c r="J9" s="19">
        <f t="shared" si="1"/>
        <v>9.3488451694815233E-2</v>
      </c>
    </row>
    <row r="10" spans="2:10" x14ac:dyDescent="0.3">
      <c r="B10" s="29">
        <v>37848</v>
      </c>
      <c r="C10">
        <v>0.49551250000000002</v>
      </c>
      <c r="D10">
        <v>0.47061111111111109</v>
      </c>
      <c r="E10">
        <v>0.53182916666666669</v>
      </c>
      <c r="F10">
        <v>0.13069166666666668</v>
      </c>
      <c r="G10">
        <v>0.78493333333333348</v>
      </c>
      <c r="H10">
        <v>0.7130875000000001</v>
      </c>
      <c r="I10" s="19">
        <f t="shared" si="0"/>
        <v>0.52111087962962976</v>
      </c>
      <c r="J10" s="19">
        <f t="shared" si="1"/>
        <v>9.3488833029188784E-2</v>
      </c>
    </row>
    <row r="11" spans="2:10" x14ac:dyDescent="0.3">
      <c r="B11" s="29">
        <v>37879</v>
      </c>
      <c r="C11">
        <v>0.56691666666666662</v>
      </c>
      <c r="D11">
        <v>0.51401666666666668</v>
      </c>
      <c r="E11">
        <v>0.54337222222222226</v>
      </c>
      <c r="F11">
        <v>0.56790833333333335</v>
      </c>
      <c r="G11">
        <v>0.81628888888888884</v>
      </c>
      <c r="H11">
        <v>1.0353222222222225</v>
      </c>
      <c r="I11" s="19">
        <f t="shared" si="0"/>
        <v>0.6739708333333333</v>
      </c>
      <c r="J11" s="19">
        <f t="shared" si="1"/>
        <v>8.4888247391137053E-2</v>
      </c>
    </row>
    <row r="12" spans="2:10" x14ac:dyDescent="0.3">
      <c r="B12" s="29">
        <v>37909</v>
      </c>
      <c r="C12">
        <v>0.58382916666666684</v>
      </c>
      <c r="D12">
        <v>0.67447500000000016</v>
      </c>
      <c r="E12">
        <v>0.77776666666666672</v>
      </c>
      <c r="F12">
        <v>0.47653999999999996</v>
      </c>
      <c r="G12">
        <v>0.87039166666666679</v>
      </c>
      <c r="H12">
        <v>1.0860352011494252</v>
      </c>
      <c r="I12" s="19">
        <f t="shared" si="0"/>
        <v>0.74483961685823763</v>
      </c>
      <c r="J12" s="19">
        <f t="shared" si="1"/>
        <v>8.8717184232211657E-2</v>
      </c>
    </row>
    <row r="13" spans="2:10" x14ac:dyDescent="0.3">
      <c r="B13" s="29">
        <v>37940</v>
      </c>
      <c r="C13">
        <v>0.70104583333333348</v>
      </c>
      <c r="D13">
        <v>0.5006250000000001</v>
      </c>
      <c r="E13">
        <v>0.86002083333333346</v>
      </c>
      <c r="F13">
        <v>0.44453333350000002</v>
      </c>
      <c r="G13">
        <v>0.8425988095238095</v>
      </c>
      <c r="H13">
        <v>0.89611166666666664</v>
      </c>
      <c r="I13" s="19">
        <f t="shared" si="0"/>
        <v>0.70748924605952379</v>
      </c>
      <c r="J13" s="19">
        <f t="shared" si="1"/>
        <v>7.9389134988532395E-2</v>
      </c>
    </row>
    <row r="14" spans="2:10" x14ac:dyDescent="0.3">
      <c r="B14" s="29">
        <v>37970</v>
      </c>
      <c r="C14">
        <v>0.77637500000000015</v>
      </c>
      <c r="D14">
        <v>0.6761666666666668</v>
      </c>
      <c r="E14">
        <v>0.61672500000000019</v>
      </c>
      <c r="F14">
        <v>0.52127499999999993</v>
      </c>
      <c r="G14">
        <v>0.79274166666666668</v>
      </c>
      <c r="H14">
        <v>0.85935000000000006</v>
      </c>
      <c r="I14" s="19">
        <f t="shared" si="0"/>
        <v>0.70710555555555565</v>
      </c>
      <c r="J14" s="19">
        <f t="shared" si="1"/>
        <v>5.1305953316150399E-2</v>
      </c>
    </row>
    <row r="15" spans="2:10" x14ac:dyDescent="0.3">
      <c r="B15" s="29">
        <v>38001</v>
      </c>
      <c r="C15">
        <v>0.52136666666666676</v>
      </c>
      <c r="D15">
        <v>0.49192222222222232</v>
      </c>
      <c r="E15">
        <v>0.73473888888888894</v>
      </c>
      <c r="G15">
        <v>0.69310555566666665</v>
      </c>
      <c r="H15">
        <v>0.68735555566666662</v>
      </c>
      <c r="I15" s="19">
        <f>+AVERAGE(C15:H15)</f>
        <v>0.62569777782222225</v>
      </c>
      <c r="J15" s="19">
        <f>+STDEV(C15:H15)/SQRT(6)</f>
        <v>4.5192336194100811E-2</v>
      </c>
    </row>
    <row r="16" spans="2:10" x14ac:dyDescent="0.3">
      <c r="B16" s="29">
        <v>38032</v>
      </c>
      <c r="C16">
        <v>0.49980000000000002</v>
      </c>
      <c r="D16" s="18">
        <f>AVERAGE(D14:D15)</f>
        <v>0.58404444444444459</v>
      </c>
      <c r="E16">
        <v>0.49172916666666672</v>
      </c>
      <c r="G16">
        <v>0.45748333333333324</v>
      </c>
      <c r="H16">
        <v>0.50392083333333337</v>
      </c>
      <c r="I16" s="19">
        <f t="shared" ref="I16:I26" si="2">+AVERAGE(C16:H16)</f>
        <v>0.5073955555555556</v>
      </c>
      <c r="J16" s="19">
        <f t="shared" ref="J16:J26" si="3">+STDEV(C16:H16)/SQRT(6)</f>
        <v>1.9019161384639171E-2</v>
      </c>
    </row>
    <row r="17" spans="2:10" x14ac:dyDescent="0.3">
      <c r="B17" s="29">
        <v>38061</v>
      </c>
      <c r="C17">
        <v>0.72971111111111109</v>
      </c>
      <c r="D17">
        <v>0.6182333333333333</v>
      </c>
      <c r="E17">
        <v>0.90429166666666683</v>
      </c>
      <c r="G17">
        <v>0.81399166666666678</v>
      </c>
      <c r="H17">
        <v>0.87661666666666682</v>
      </c>
      <c r="I17" s="19">
        <f t="shared" si="2"/>
        <v>0.78856888888888899</v>
      </c>
      <c r="J17" s="19">
        <f t="shared" si="3"/>
        <v>4.7552133491177449E-2</v>
      </c>
    </row>
    <row r="18" spans="2:10" x14ac:dyDescent="0.3">
      <c r="B18" s="29">
        <v>38092</v>
      </c>
      <c r="C18">
        <v>0.85565000000000002</v>
      </c>
      <c r="D18">
        <v>0.74622083333333333</v>
      </c>
      <c r="E18">
        <v>0.8981933333333334</v>
      </c>
      <c r="G18">
        <v>1.1737541666666667</v>
      </c>
      <c r="H18">
        <v>0.94942916675000011</v>
      </c>
      <c r="I18" s="19">
        <f t="shared" si="2"/>
        <v>0.92464950001666657</v>
      </c>
      <c r="J18" s="19">
        <f t="shared" si="3"/>
        <v>6.4538365748193313E-2</v>
      </c>
    </row>
    <row r="19" spans="2:10" x14ac:dyDescent="0.3">
      <c r="B19" s="29">
        <v>38122</v>
      </c>
      <c r="C19">
        <v>0.67918750000000006</v>
      </c>
      <c r="D19">
        <v>0.46824444444444441</v>
      </c>
      <c r="E19">
        <v>0.84589906716417917</v>
      </c>
      <c r="G19">
        <v>1.2477916666666666</v>
      </c>
      <c r="H19">
        <v>1.0671916666666668</v>
      </c>
      <c r="I19" s="19">
        <f t="shared" si="2"/>
        <v>0.86166286898839139</v>
      </c>
      <c r="J19" s="19">
        <f t="shared" si="3"/>
        <v>0.12577449224332535</v>
      </c>
    </row>
    <row r="20" spans="2:10" x14ac:dyDescent="0.3">
      <c r="B20" s="29">
        <v>38153</v>
      </c>
      <c r="C20">
        <v>0.3802666666666667</v>
      </c>
      <c r="D20">
        <v>0.38176250000000012</v>
      </c>
      <c r="E20">
        <v>0.58833750000000007</v>
      </c>
      <c r="G20">
        <v>0.60869583333333344</v>
      </c>
      <c r="H20">
        <v>0.45742500000000008</v>
      </c>
      <c r="I20" s="19">
        <f t="shared" si="2"/>
        <v>0.4832975000000001</v>
      </c>
      <c r="J20" s="19">
        <f t="shared" si="3"/>
        <v>4.4885149131509622E-2</v>
      </c>
    </row>
    <row r="21" spans="2:10" x14ac:dyDescent="0.3">
      <c r="B21" s="29">
        <v>38183</v>
      </c>
      <c r="C21">
        <v>0.20223750000000001</v>
      </c>
      <c r="D21">
        <v>0.17505000000000004</v>
      </c>
      <c r="E21">
        <v>0.19509583333333336</v>
      </c>
      <c r="G21">
        <v>0.23290833333333336</v>
      </c>
      <c r="H21">
        <v>0.22114583333333332</v>
      </c>
      <c r="I21" s="19">
        <f t="shared" si="2"/>
        <v>0.20528750000000001</v>
      </c>
      <c r="J21" s="19">
        <f t="shared" si="3"/>
        <v>9.2237829952279051E-3</v>
      </c>
    </row>
    <row r="22" spans="2:10" x14ac:dyDescent="0.3">
      <c r="B22" s="29">
        <v>38214</v>
      </c>
      <c r="C22">
        <v>8.3000000000000004E-2</v>
      </c>
      <c r="D22">
        <v>0.14006111111111111</v>
      </c>
      <c r="E22">
        <v>0.13629166666666667</v>
      </c>
      <c r="G22">
        <v>0.14640000000000003</v>
      </c>
      <c r="H22">
        <v>0.21977500000000003</v>
      </c>
      <c r="I22" s="19">
        <f t="shared" si="2"/>
        <v>0.14510555555555554</v>
      </c>
      <c r="J22" s="19">
        <f t="shared" si="3"/>
        <v>1.993471909344003E-2</v>
      </c>
    </row>
    <row r="23" spans="2:10" x14ac:dyDescent="0.3">
      <c r="B23" s="29">
        <v>38245</v>
      </c>
      <c r="C23">
        <v>0.13854250000000001</v>
      </c>
      <c r="D23">
        <v>0.27507500000000001</v>
      </c>
      <c r="E23">
        <v>0.48387083333333336</v>
      </c>
      <c r="G23">
        <v>0.76650416666666676</v>
      </c>
      <c r="H23">
        <v>0.6578250000000001</v>
      </c>
      <c r="I23" s="19">
        <f t="shared" si="2"/>
        <v>0.46436350000000004</v>
      </c>
      <c r="J23" s="19">
        <f t="shared" si="3"/>
        <v>0.10627917849604405</v>
      </c>
    </row>
    <row r="24" spans="2:10" x14ac:dyDescent="0.3">
      <c r="B24" s="29">
        <v>38275</v>
      </c>
      <c r="C24">
        <v>0.41976333339999999</v>
      </c>
      <c r="D24">
        <v>0.2703633332</v>
      </c>
      <c r="E24">
        <v>0.34389666659999996</v>
      </c>
      <c r="G24">
        <v>0.80833333319999989</v>
      </c>
      <c r="H24">
        <v>0.66005333359999996</v>
      </c>
      <c r="I24" s="19">
        <f t="shared" si="2"/>
        <v>0.50048199999999998</v>
      </c>
      <c r="J24" s="19">
        <f t="shared" si="3"/>
        <v>9.2246166235463986E-2</v>
      </c>
    </row>
    <row r="25" spans="2:10" x14ac:dyDescent="0.3">
      <c r="B25" s="29">
        <v>38306</v>
      </c>
      <c r="C25">
        <v>0.35467222200000004</v>
      </c>
      <c r="D25">
        <v>0.33903333299999999</v>
      </c>
      <c r="E25">
        <v>0.46384999999999998</v>
      </c>
      <c r="G25">
        <v>0.66375555566666666</v>
      </c>
      <c r="H25">
        <v>0.51373333333333326</v>
      </c>
      <c r="I25" s="19">
        <f t="shared" si="2"/>
        <v>0.46700888879999997</v>
      </c>
      <c r="J25" s="19">
        <f t="shared" si="3"/>
        <v>5.3967456555083448E-2</v>
      </c>
    </row>
    <row r="26" spans="2:10" x14ac:dyDescent="0.3">
      <c r="B26" s="29">
        <v>38336</v>
      </c>
      <c r="C26">
        <v>0.55030000033333337</v>
      </c>
      <c r="D26">
        <v>0.84854583350000001</v>
      </c>
      <c r="E26">
        <v>0.70836666650000002</v>
      </c>
      <c r="G26">
        <v>0.80167500000000003</v>
      </c>
      <c r="H26">
        <v>1.1553416670000001</v>
      </c>
      <c r="I26" s="19">
        <f t="shared" si="2"/>
        <v>0.81284583346666683</v>
      </c>
      <c r="J26" s="19">
        <f t="shared" si="3"/>
        <v>9.0955319694190365E-2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D14" sqref="D14"/>
    </sheetView>
  </sheetViews>
  <sheetFormatPr baseColWidth="10" defaultRowHeight="14.4" x14ac:dyDescent="0.3"/>
  <cols>
    <col min="2" max="2" width="15.33203125" customWidth="1"/>
    <col min="3" max="3" width="11.44140625" style="26"/>
  </cols>
  <sheetData>
    <row r="1" spans="1:3" x14ac:dyDescent="0.3">
      <c r="A1" t="s">
        <v>34</v>
      </c>
    </row>
    <row r="3" spans="1:3" x14ac:dyDescent="0.3">
      <c r="A3" s="20" t="s">
        <v>43</v>
      </c>
    </row>
    <row r="4" spans="1:3" ht="15" thickBot="1" x14ac:dyDescent="0.35">
      <c r="A4" s="20" t="s">
        <v>22</v>
      </c>
      <c r="B4" t="s">
        <v>44</v>
      </c>
      <c r="C4" s="26" t="s">
        <v>20</v>
      </c>
    </row>
    <row r="5" spans="1:3" x14ac:dyDescent="0.3">
      <c r="A5" s="21">
        <v>42505</v>
      </c>
      <c r="B5" s="22">
        <v>12.217573333333332</v>
      </c>
      <c r="C5" s="23">
        <v>0.39977272239407702</v>
      </c>
    </row>
    <row r="6" spans="1:3" x14ac:dyDescent="0.3">
      <c r="A6" s="21">
        <v>42541</v>
      </c>
      <c r="B6" s="24">
        <v>10.835539555555556</v>
      </c>
      <c r="C6" s="25">
        <v>1.314049768118206</v>
      </c>
    </row>
    <row r="7" spans="1:3" x14ac:dyDescent="0.3">
      <c r="A7" s="21">
        <v>42585</v>
      </c>
      <c r="B7" s="24">
        <v>5.3787720000000006</v>
      </c>
      <c r="C7" s="25">
        <v>0.59303705334839552</v>
      </c>
    </row>
    <row r="8" spans="1:3" x14ac:dyDescent="0.3">
      <c r="A8" s="21">
        <v>42632</v>
      </c>
      <c r="B8" s="24">
        <v>5.5371814589371979</v>
      </c>
      <c r="C8" s="25">
        <v>0.44822558802321749</v>
      </c>
    </row>
    <row r="9" spans="1:3" x14ac:dyDescent="0.3">
      <c r="A9" s="21">
        <v>42677</v>
      </c>
      <c r="B9" s="24">
        <v>12.332810067632849</v>
      </c>
      <c r="C9" s="25">
        <v>1.0075920494044168</v>
      </c>
    </row>
    <row r="10" spans="1:3" x14ac:dyDescent="0.3">
      <c r="A10" s="21">
        <v>42760</v>
      </c>
      <c r="B10" s="24">
        <v>10.629362570048308</v>
      </c>
      <c r="C10" s="25">
        <v>0.80273424918315395</v>
      </c>
    </row>
    <row r="11" spans="1:3" x14ac:dyDescent="0.3">
      <c r="A11" s="21">
        <v>42801</v>
      </c>
      <c r="B11" s="24">
        <v>1.8583273333333332</v>
      </c>
      <c r="C11" s="25">
        <v>0.20984084468504569</v>
      </c>
    </row>
    <row r="12" spans="1:3" x14ac:dyDescent="0.3">
      <c r="A12" s="21">
        <v>42859</v>
      </c>
      <c r="B12" s="24">
        <v>4.3259999999999757E-3</v>
      </c>
      <c r="C12" s="25">
        <v>1.0042323575992669E-2</v>
      </c>
    </row>
    <row r="13" spans="1:3" x14ac:dyDescent="0.3">
      <c r="A13" s="21">
        <v>42908</v>
      </c>
      <c r="B13" s="24">
        <v>1.5465459722222221</v>
      </c>
      <c r="C13" s="25">
        <v>0.25729485658908341</v>
      </c>
    </row>
    <row r="14" spans="1:3" x14ac:dyDescent="0.3">
      <c r="A14" s="21">
        <v>42947</v>
      </c>
      <c r="B14" s="24">
        <v>4.9940333333333309E-2</v>
      </c>
      <c r="C14" s="25">
        <v>3.2909172003606581E-2</v>
      </c>
    </row>
    <row r="15" spans="1:3" x14ac:dyDescent="0.3">
      <c r="A15" s="21">
        <v>42954</v>
      </c>
      <c r="B15" s="24">
        <v>4.0076174444444446</v>
      </c>
      <c r="C15" s="25">
        <v>0.54303806088014184</v>
      </c>
    </row>
    <row r="16" spans="1:3" x14ac:dyDescent="0.3">
      <c r="A16" s="21">
        <v>42964</v>
      </c>
      <c r="B16" s="24">
        <v>5.4169773842592592</v>
      </c>
      <c r="C16" s="25">
        <v>0.49428598424051667</v>
      </c>
    </row>
    <row r="17" spans="1:3" x14ac:dyDescent="0.3">
      <c r="A17" s="21">
        <v>42986</v>
      </c>
      <c r="B17" s="24">
        <v>7.2736008333333322</v>
      </c>
      <c r="C17" s="25">
        <v>0.51299804023784679</v>
      </c>
    </row>
    <row r="18" spans="1:3" x14ac:dyDescent="0.3">
      <c r="A18" s="21">
        <v>43018</v>
      </c>
      <c r="B18" s="24">
        <v>5.2223935555555556</v>
      </c>
      <c r="C18" s="25">
        <v>0.32419323828179025</v>
      </c>
    </row>
    <row r="19" spans="1:3" x14ac:dyDescent="0.3">
      <c r="A19" s="21">
        <v>43047</v>
      </c>
      <c r="B19" s="24">
        <v>4.8261562222222221</v>
      </c>
      <c r="C19" s="25">
        <v>0.14192677496623418</v>
      </c>
    </row>
    <row r="20" spans="1:3" x14ac:dyDescent="0.3">
      <c r="A20" s="21">
        <v>43109</v>
      </c>
      <c r="B20" s="24">
        <v>4.9714083333333328</v>
      </c>
      <c r="C20" s="25">
        <v>0.10516847318663629</v>
      </c>
    </row>
    <row r="21" spans="1:3" x14ac:dyDescent="0.3">
      <c r="A21" s="21">
        <v>43145</v>
      </c>
      <c r="B21" s="24">
        <v>6.1622046783625732</v>
      </c>
      <c r="C21" s="25">
        <v>0.30897699963651404</v>
      </c>
    </row>
    <row r="22" spans="1:3" x14ac:dyDescent="0.3">
      <c r="A22" s="21">
        <v>43186</v>
      </c>
      <c r="B22" s="24">
        <v>3.4454086405508071</v>
      </c>
      <c r="C22" s="25">
        <v>0.23741690698384821</v>
      </c>
    </row>
    <row r="23" spans="1:3" x14ac:dyDescent="0.3">
      <c r="A23" s="21">
        <v>43228</v>
      </c>
      <c r="B23" s="24">
        <v>1.2302935555555556</v>
      </c>
      <c r="C23" s="25">
        <v>0.36805054191119385</v>
      </c>
    </row>
    <row r="24" spans="1:3" x14ac:dyDescent="0.3">
      <c r="A24" s="21">
        <v>43263</v>
      </c>
      <c r="B24" s="24">
        <v>0.60648871111111102</v>
      </c>
      <c r="C24" s="25">
        <v>0.28014512168545086</v>
      </c>
    </row>
    <row r="25" spans="1:3" x14ac:dyDescent="0.3">
      <c r="A25" s="21">
        <v>43299</v>
      </c>
      <c r="B25" s="24">
        <v>2.287669135802469</v>
      </c>
      <c r="C25" s="25">
        <v>1.15704464585793</v>
      </c>
    </row>
    <row r="26" spans="1:3" x14ac:dyDescent="0.3">
      <c r="A26" s="21">
        <v>43342</v>
      </c>
      <c r="B26" s="24">
        <v>1.7405852592592594</v>
      </c>
      <c r="C26" s="25">
        <v>0.67556011647163605</v>
      </c>
    </row>
    <row r="27" spans="1:3" x14ac:dyDescent="0.3">
      <c r="A27" s="21">
        <v>43377</v>
      </c>
      <c r="B27" s="24">
        <v>1.220261</v>
      </c>
      <c r="C27" s="25">
        <v>0.41038429643420588</v>
      </c>
    </row>
    <row r="28" spans="1:3" x14ac:dyDescent="0.3">
      <c r="A28" s="21">
        <v>43416</v>
      </c>
      <c r="B28" s="24">
        <v>1.3521332222222222</v>
      </c>
      <c r="C28" s="25">
        <v>0.42578840368648585</v>
      </c>
    </row>
    <row r="29" spans="1:3" x14ac:dyDescent="0.3">
      <c r="A29" s="21">
        <v>43452</v>
      </c>
      <c r="B29" s="24">
        <v>0.97944896296296291</v>
      </c>
      <c r="C29" s="25">
        <v>0.35435442666123163</v>
      </c>
    </row>
    <row r="30" spans="1:3" x14ac:dyDescent="0.3">
      <c r="A30" s="21">
        <v>43494</v>
      </c>
      <c r="B30" s="24">
        <v>0.42354355555555551</v>
      </c>
      <c r="C30" s="25">
        <v>0.1312524007280027</v>
      </c>
    </row>
    <row r="31" spans="1:3" x14ac:dyDescent="0.3">
      <c r="A31" s="21">
        <v>43522</v>
      </c>
      <c r="B31" s="24">
        <v>0.68516155555555558</v>
      </c>
      <c r="C31" s="25">
        <v>0.21983428629840066</v>
      </c>
    </row>
    <row r="32" spans="1:3" x14ac:dyDescent="0.3">
      <c r="A32" s="21">
        <v>43558</v>
      </c>
      <c r="B32" s="24">
        <v>0.97346705555555546</v>
      </c>
      <c r="C32" s="25">
        <v>0.36870491885122536</v>
      </c>
    </row>
    <row r="33" spans="1:3" x14ac:dyDescent="0.3">
      <c r="A33" s="21">
        <v>43599</v>
      </c>
      <c r="B33" s="24">
        <v>1.1857167777777777</v>
      </c>
      <c r="C33" s="25">
        <v>0.37749381158964496</v>
      </c>
    </row>
    <row r="34" spans="1:3" x14ac:dyDescent="0.3">
      <c r="A34" s="21">
        <v>43634</v>
      </c>
      <c r="B34" s="24">
        <v>1.9093168888888892</v>
      </c>
      <c r="C34" s="25">
        <v>0.56560213601109</v>
      </c>
    </row>
    <row r="35" spans="1:3" x14ac:dyDescent="0.3">
      <c r="A35" s="21">
        <v>43672</v>
      </c>
      <c r="B35" s="24">
        <v>1.3137655555555554</v>
      </c>
      <c r="C35" s="25">
        <v>0.43059801921460733</v>
      </c>
    </row>
    <row r="36" spans="1:3" x14ac:dyDescent="0.3">
      <c r="A36" s="21">
        <v>43713</v>
      </c>
      <c r="B36" s="24">
        <v>3.754396666666667</v>
      </c>
      <c r="C36" s="25">
        <v>1.5110286437933231</v>
      </c>
    </row>
    <row r="37" spans="1:3" x14ac:dyDescent="0.3">
      <c r="A37" s="21">
        <v>43726</v>
      </c>
      <c r="B37" s="24">
        <v>24.235189999999999</v>
      </c>
      <c r="C37" s="25">
        <v>7.115905836399226</v>
      </c>
    </row>
    <row r="38" spans="1:3" x14ac:dyDescent="0.3">
      <c r="A38" s="21">
        <v>43740</v>
      </c>
      <c r="B38" s="24">
        <v>6.8385084444444439</v>
      </c>
      <c r="C38" s="25">
        <v>2.2691353650590962</v>
      </c>
    </row>
    <row r="39" spans="1:3" x14ac:dyDescent="0.3">
      <c r="A39" s="21">
        <v>43754</v>
      </c>
      <c r="B39" s="24">
        <v>16.317578148148147</v>
      </c>
      <c r="C39" s="25">
        <v>6.9358565985272085</v>
      </c>
    </row>
    <row r="40" spans="1:3" x14ac:dyDescent="0.3">
      <c r="A40" s="21">
        <v>43767</v>
      </c>
      <c r="B40" s="24">
        <v>38.520408888888895</v>
      </c>
      <c r="C40" s="25">
        <v>16.930276649205044</v>
      </c>
    </row>
    <row r="41" spans="1:3" x14ac:dyDescent="0.3">
      <c r="A41" s="21">
        <v>43773</v>
      </c>
      <c r="B41" s="24">
        <v>32.610988148148152</v>
      </c>
      <c r="C41" s="25">
        <v>11.810781879700373</v>
      </c>
    </row>
    <row r="42" spans="1:3" x14ac:dyDescent="0.3">
      <c r="A42" s="21">
        <v>43801</v>
      </c>
      <c r="B42" s="24">
        <v>7.526534166666667</v>
      </c>
      <c r="C42" s="25">
        <v>2.600707546779379</v>
      </c>
    </row>
    <row r="43" spans="1:3" x14ac:dyDescent="0.3">
      <c r="A43" s="21">
        <v>43809</v>
      </c>
      <c r="B43" s="24">
        <v>18.168813333333333</v>
      </c>
      <c r="C43" s="25">
        <v>6.3802339370311829</v>
      </c>
    </row>
    <row r="44" spans="1:3" x14ac:dyDescent="0.3">
      <c r="A44" s="21">
        <v>43839</v>
      </c>
      <c r="B44" s="24">
        <v>1.8567383333333334</v>
      </c>
      <c r="C44" s="25">
        <v>0.87202172124392585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3"/>
  <sheetViews>
    <sheetView topLeftCell="A90" workbookViewId="0">
      <selection activeCell="B1" sqref="B1"/>
    </sheetView>
  </sheetViews>
  <sheetFormatPr baseColWidth="10" defaultRowHeight="14.4" x14ac:dyDescent="0.3"/>
  <cols>
    <col min="1" max="1" width="20.33203125" customWidth="1"/>
  </cols>
  <sheetData>
    <row r="1" spans="1:2" x14ac:dyDescent="0.3">
      <c r="A1" t="s">
        <v>16</v>
      </c>
      <c r="B1" t="s">
        <v>45</v>
      </c>
    </row>
    <row r="2" spans="1:2" x14ac:dyDescent="0.3">
      <c r="A2" s="27">
        <v>35796</v>
      </c>
      <c r="B2">
        <v>0.35730000000000001</v>
      </c>
    </row>
    <row r="3" spans="1:2" x14ac:dyDescent="0.3">
      <c r="A3" s="27">
        <v>35827</v>
      </c>
      <c r="B3">
        <v>0.45219999999999999</v>
      </c>
    </row>
    <row r="4" spans="1:2" x14ac:dyDescent="0.3">
      <c r="A4" s="27">
        <v>35855</v>
      </c>
      <c r="B4">
        <v>0.4889</v>
      </c>
    </row>
    <row r="5" spans="1:2" x14ac:dyDescent="0.3">
      <c r="A5" s="27">
        <v>35886</v>
      </c>
      <c r="B5">
        <v>0.31119999999999998</v>
      </c>
    </row>
    <row r="6" spans="1:2" x14ac:dyDescent="0.3">
      <c r="A6" s="27">
        <v>35916</v>
      </c>
      <c r="B6">
        <v>0.39090000000000003</v>
      </c>
    </row>
    <row r="7" spans="1:2" x14ac:dyDescent="0.3">
      <c r="A7" s="27">
        <v>35947</v>
      </c>
      <c r="B7">
        <v>0.4486</v>
      </c>
    </row>
    <row r="8" spans="1:2" x14ac:dyDescent="0.3">
      <c r="A8" s="27">
        <v>35977</v>
      </c>
      <c r="B8">
        <v>0.66049999999999998</v>
      </c>
    </row>
    <row r="9" spans="1:2" x14ac:dyDescent="0.3">
      <c r="A9" s="27">
        <v>36008</v>
      </c>
      <c r="B9">
        <v>0.63139999999999996</v>
      </c>
    </row>
    <row r="10" spans="1:2" x14ac:dyDescent="0.3">
      <c r="A10" s="27">
        <v>36039</v>
      </c>
      <c r="B10">
        <v>0.47520000000000001</v>
      </c>
    </row>
    <row r="11" spans="1:2" x14ac:dyDescent="0.3">
      <c r="A11" s="27">
        <v>36069</v>
      </c>
      <c r="B11">
        <v>0.52080000000000004</v>
      </c>
    </row>
    <row r="12" spans="1:2" x14ac:dyDescent="0.3">
      <c r="A12" s="27">
        <v>36100</v>
      </c>
      <c r="B12">
        <v>0.6129</v>
      </c>
    </row>
    <row r="13" spans="1:2" x14ac:dyDescent="0.3">
      <c r="A13" s="27">
        <v>36130</v>
      </c>
      <c r="B13">
        <v>0.4672</v>
      </c>
    </row>
    <row r="14" spans="1:2" x14ac:dyDescent="0.3">
      <c r="A14" s="27">
        <v>36161</v>
      </c>
      <c r="B14">
        <v>0.497</v>
      </c>
    </row>
    <row r="15" spans="1:2" x14ac:dyDescent="0.3">
      <c r="A15" s="27">
        <v>36192</v>
      </c>
      <c r="B15">
        <v>0.42980000000000002</v>
      </c>
    </row>
    <row r="16" spans="1:2" x14ac:dyDescent="0.3">
      <c r="A16" s="27">
        <v>36220</v>
      </c>
      <c r="B16">
        <v>0.34320000000000001</v>
      </c>
    </row>
    <row r="17" spans="1:2" x14ac:dyDescent="0.3">
      <c r="A17" s="27">
        <v>36251</v>
      </c>
      <c r="B17">
        <v>0.44940000000000002</v>
      </c>
    </row>
    <row r="18" spans="1:2" x14ac:dyDescent="0.3">
      <c r="A18" s="27">
        <v>36281</v>
      </c>
      <c r="B18">
        <v>0.66669999999999996</v>
      </c>
    </row>
    <row r="19" spans="1:2" x14ac:dyDescent="0.3">
      <c r="A19" s="27">
        <v>36312</v>
      </c>
      <c r="B19">
        <v>0.60319999999999996</v>
      </c>
    </row>
    <row r="20" spans="1:2" x14ac:dyDescent="0.3">
      <c r="A20" s="27">
        <v>36342</v>
      </c>
      <c r="B20">
        <v>0.52</v>
      </c>
    </row>
    <row r="21" spans="1:2" x14ac:dyDescent="0.3">
      <c r="A21" s="27">
        <v>36373</v>
      </c>
      <c r="B21">
        <v>0.39589999999999997</v>
      </c>
    </row>
    <row r="22" spans="1:2" x14ac:dyDescent="0.3">
      <c r="A22" s="27">
        <v>36404</v>
      </c>
      <c r="B22">
        <v>0.75700000000000001</v>
      </c>
    </row>
    <row r="23" spans="1:2" x14ac:dyDescent="0.3">
      <c r="A23" s="27">
        <v>36434</v>
      </c>
      <c r="B23">
        <v>0.52049999999999996</v>
      </c>
    </row>
    <row r="24" spans="1:2" x14ac:dyDescent="0.3">
      <c r="A24" s="27">
        <v>36465</v>
      </c>
      <c r="B24">
        <v>0.32850000000000001</v>
      </c>
    </row>
    <row r="25" spans="1:2" x14ac:dyDescent="0.3">
      <c r="A25" s="27">
        <v>36495</v>
      </c>
      <c r="B25">
        <v>0.39410000000000001</v>
      </c>
    </row>
    <row r="26" spans="1:2" x14ac:dyDescent="0.3">
      <c r="A26" s="27">
        <v>36526</v>
      </c>
      <c r="B26">
        <v>0.34710000000000002</v>
      </c>
    </row>
    <row r="27" spans="1:2" x14ac:dyDescent="0.3">
      <c r="A27" s="27">
        <v>36557</v>
      </c>
      <c r="B27">
        <v>0.62590000000000001</v>
      </c>
    </row>
    <row r="28" spans="1:2" x14ac:dyDescent="0.3">
      <c r="A28" s="27">
        <v>36586</v>
      </c>
      <c r="B28">
        <v>0.98040000000000005</v>
      </c>
    </row>
    <row r="29" spans="1:2" x14ac:dyDescent="0.3">
      <c r="A29" s="27">
        <v>36617</v>
      </c>
      <c r="B29">
        <v>0.85029999999999994</v>
      </c>
    </row>
    <row r="30" spans="1:2" x14ac:dyDescent="0.3">
      <c r="A30" s="27">
        <v>36647</v>
      </c>
      <c r="B30">
        <v>0.4667</v>
      </c>
    </row>
    <row r="31" spans="1:2" x14ac:dyDescent="0.3">
      <c r="A31" s="27">
        <v>36678</v>
      </c>
      <c r="B31">
        <v>0.60909999999999997</v>
      </c>
    </row>
    <row r="32" spans="1:2" x14ac:dyDescent="0.3">
      <c r="A32" s="27">
        <v>36708</v>
      </c>
      <c r="B32">
        <v>0.58109999999999995</v>
      </c>
    </row>
    <row r="33" spans="1:2" x14ac:dyDescent="0.3">
      <c r="A33" s="27">
        <v>36739</v>
      </c>
      <c r="B33">
        <v>0.48459999999999998</v>
      </c>
    </row>
    <row r="34" spans="1:2" x14ac:dyDescent="0.3">
      <c r="A34" s="27">
        <v>36770</v>
      </c>
      <c r="B34">
        <v>0.54890000000000005</v>
      </c>
    </row>
    <row r="35" spans="1:2" x14ac:dyDescent="0.3">
      <c r="A35" s="27">
        <v>36800</v>
      </c>
      <c r="B35">
        <v>0.68210000000000004</v>
      </c>
    </row>
    <row r="36" spans="1:2" x14ac:dyDescent="0.3">
      <c r="A36" s="27">
        <v>36831</v>
      </c>
      <c r="B36">
        <v>0.29409999999999997</v>
      </c>
    </row>
    <row r="37" spans="1:2" x14ac:dyDescent="0.3">
      <c r="A37" s="27">
        <v>36861</v>
      </c>
      <c r="B37">
        <v>0.63429999999999997</v>
      </c>
    </row>
    <row r="38" spans="1:2" x14ac:dyDescent="0.3">
      <c r="A38" s="27">
        <v>36892</v>
      </c>
      <c r="B38">
        <v>0.64939999999999998</v>
      </c>
    </row>
    <row r="39" spans="1:2" x14ac:dyDescent="0.3">
      <c r="A39" s="27">
        <v>36923</v>
      </c>
      <c r="B39">
        <v>0.60860000000000003</v>
      </c>
    </row>
    <row r="40" spans="1:2" x14ac:dyDescent="0.3">
      <c r="A40" s="27">
        <v>36951</v>
      </c>
      <c r="B40">
        <v>0.77100000000000002</v>
      </c>
    </row>
    <row r="41" spans="1:2" x14ac:dyDescent="0.3">
      <c r="A41" s="27">
        <v>36982</v>
      </c>
      <c r="B41">
        <v>0.7752</v>
      </c>
    </row>
    <row r="42" spans="1:2" x14ac:dyDescent="0.3">
      <c r="A42" s="27">
        <v>37012</v>
      </c>
      <c r="B42">
        <v>0.69169999999999998</v>
      </c>
    </row>
    <row r="43" spans="1:2" x14ac:dyDescent="0.3">
      <c r="A43" s="27">
        <v>37043</v>
      </c>
      <c r="B43">
        <v>0.64439999999999997</v>
      </c>
    </row>
    <row r="44" spans="1:2" x14ac:dyDescent="0.3">
      <c r="A44" s="27">
        <v>37073</v>
      </c>
      <c r="B44">
        <v>0.7641</v>
      </c>
    </row>
    <row r="45" spans="1:2" x14ac:dyDescent="0.3">
      <c r="A45" s="27">
        <v>37104</v>
      </c>
      <c r="B45">
        <v>1.167</v>
      </c>
    </row>
    <row r="46" spans="1:2" x14ac:dyDescent="0.3">
      <c r="A46" s="27">
        <v>37135</v>
      </c>
      <c r="B46">
        <v>0.49669999999999997</v>
      </c>
    </row>
    <row r="47" spans="1:2" x14ac:dyDescent="0.3">
      <c r="A47" s="27">
        <v>37165</v>
      </c>
      <c r="B47">
        <v>0.32190000000000002</v>
      </c>
    </row>
    <row r="48" spans="1:2" x14ac:dyDescent="0.3">
      <c r="A48" s="27">
        <v>37196</v>
      </c>
      <c r="B48">
        <v>0.64170000000000005</v>
      </c>
    </row>
    <row r="49" spans="1:2" x14ac:dyDescent="0.3">
      <c r="A49" s="27">
        <v>37226</v>
      </c>
      <c r="B49">
        <v>0.38740000000000002</v>
      </c>
    </row>
    <row r="50" spans="1:2" x14ac:dyDescent="0.3">
      <c r="A50" s="27">
        <v>37257</v>
      </c>
      <c r="B50">
        <v>0.65710000000000002</v>
      </c>
    </row>
    <row r="51" spans="1:2" x14ac:dyDescent="0.3">
      <c r="A51" s="27">
        <v>37288</v>
      </c>
      <c r="B51">
        <v>0.53249999999999997</v>
      </c>
    </row>
    <row r="52" spans="1:2" x14ac:dyDescent="0.3">
      <c r="A52" s="27">
        <v>37316</v>
      </c>
      <c r="B52">
        <v>0.67120000000000002</v>
      </c>
    </row>
    <row r="53" spans="1:2" x14ac:dyDescent="0.3">
      <c r="A53" s="27">
        <v>37347</v>
      </c>
      <c r="B53">
        <v>1.004</v>
      </c>
    </row>
    <row r="54" spans="1:2" x14ac:dyDescent="0.3">
      <c r="A54" s="27">
        <v>37377</v>
      </c>
      <c r="B54">
        <v>1.0851999999999999</v>
      </c>
    </row>
    <row r="55" spans="1:2" x14ac:dyDescent="0.3">
      <c r="A55" s="27">
        <v>37408</v>
      </c>
      <c r="B55">
        <v>0.8125</v>
      </c>
    </row>
    <row r="56" spans="1:2" x14ac:dyDescent="0.3">
      <c r="A56" s="27">
        <v>37438</v>
      </c>
      <c r="B56">
        <v>0.89659999999999995</v>
      </c>
    </row>
    <row r="57" spans="1:2" x14ac:dyDescent="0.3">
      <c r="A57" s="27">
        <v>37469</v>
      </c>
      <c r="B57">
        <v>1.1553</v>
      </c>
    </row>
    <row r="58" spans="1:2" x14ac:dyDescent="0.3">
      <c r="A58" s="27">
        <v>37500</v>
      </c>
      <c r="B58">
        <v>1.0565</v>
      </c>
    </row>
    <row r="59" spans="1:2" x14ac:dyDescent="0.3">
      <c r="A59" s="27">
        <v>37530</v>
      </c>
      <c r="B59">
        <v>0.75600000000000001</v>
      </c>
    </row>
    <row r="60" spans="1:2" x14ac:dyDescent="0.3">
      <c r="A60" s="27">
        <v>37561</v>
      </c>
      <c r="B60">
        <v>0.62490000000000001</v>
      </c>
    </row>
    <row r="61" spans="1:2" x14ac:dyDescent="0.3">
      <c r="A61" s="27">
        <v>37591</v>
      </c>
      <c r="B61">
        <v>0.54710000000000003</v>
      </c>
    </row>
    <row r="62" spans="1:2" x14ac:dyDescent="0.3">
      <c r="A62" s="27">
        <v>37622</v>
      </c>
      <c r="B62">
        <v>0.58240000000000003</v>
      </c>
    </row>
    <row r="63" spans="1:2" x14ac:dyDescent="0.3">
      <c r="A63" s="27">
        <v>37653</v>
      </c>
      <c r="B63">
        <v>0.48659999999999998</v>
      </c>
    </row>
    <row r="64" spans="1:2" x14ac:dyDescent="0.3">
      <c r="A64" s="27">
        <v>37681</v>
      </c>
      <c r="B64">
        <v>0.53090000000000004</v>
      </c>
    </row>
    <row r="65" spans="1:2" x14ac:dyDescent="0.3">
      <c r="A65" s="27">
        <v>37712</v>
      </c>
      <c r="B65">
        <v>0.51290000000000002</v>
      </c>
    </row>
    <row r="66" spans="1:2" x14ac:dyDescent="0.3">
      <c r="A66" s="27">
        <v>37742</v>
      </c>
      <c r="B66">
        <v>0.60970000000000002</v>
      </c>
    </row>
    <row r="67" spans="1:2" x14ac:dyDescent="0.3">
      <c r="A67" s="27">
        <v>37773</v>
      </c>
      <c r="B67">
        <v>0.81740000000000002</v>
      </c>
    </row>
    <row r="68" spans="1:2" x14ac:dyDescent="0.3">
      <c r="A68" s="27">
        <v>37803</v>
      </c>
      <c r="B68">
        <v>0.97729999999999995</v>
      </c>
    </row>
    <row r="69" spans="1:2" x14ac:dyDescent="0.3">
      <c r="A69" s="27">
        <v>37834</v>
      </c>
      <c r="B69">
        <v>1.2015</v>
      </c>
    </row>
    <row r="70" spans="1:2" x14ac:dyDescent="0.3">
      <c r="A70" s="27">
        <v>37865</v>
      </c>
      <c r="B70">
        <v>1.1603000000000001</v>
      </c>
    </row>
    <row r="71" spans="1:2" x14ac:dyDescent="0.3">
      <c r="A71" s="27">
        <v>37895</v>
      </c>
      <c r="B71">
        <v>0.88729999999999998</v>
      </c>
    </row>
    <row r="72" spans="1:2" x14ac:dyDescent="0.3">
      <c r="A72" s="27">
        <v>37926</v>
      </c>
      <c r="B72">
        <v>0.67469999999999997</v>
      </c>
    </row>
    <row r="73" spans="1:2" x14ac:dyDescent="0.3">
      <c r="A73" s="27">
        <v>37956</v>
      </c>
      <c r="B73">
        <v>0.63219999999999998</v>
      </c>
    </row>
    <row r="74" spans="1:2" x14ac:dyDescent="0.3">
      <c r="A74" s="27">
        <v>37987</v>
      </c>
      <c r="B74">
        <v>0.89270000000000005</v>
      </c>
    </row>
    <row r="75" spans="1:2" x14ac:dyDescent="0.3">
      <c r="A75" s="27">
        <v>38018</v>
      </c>
      <c r="B75">
        <v>0.54930000000000001</v>
      </c>
    </row>
    <row r="76" spans="1:2" x14ac:dyDescent="0.3">
      <c r="A76" s="27">
        <v>38047</v>
      </c>
      <c r="B76">
        <v>0.4995</v>
      </c>
    </row>
    <row r="77" spans="1:2" x14ac:dyDescent="0.3">
      <c r="A77" s="27">
        <v>38078</v>
      </c>
      <c r="B77">
        <v>0.51049999999999995</v>
      </c>
    </row>
    <row r="78" spans="1:2" x14ac:dyDescent="0.3">
      <c r="A78" s="27">
        <v>38108</v>
      </c>
      <c r="B78">
        <v>0.62909999999999999</v>
      </c>
    </row>
    <row r="79" spans="1:2" x14ac:dyDescent="0.3">
      <c r="A79" s="27">
        <v>38139</v>
      </c>
      <c r="B79">
        <v>0.78220000000000001</v>
      </c>
    </row>
    <row r="80" spans="1:2" x14ac:dyDescent="0.3">
      <c r="A80" s="27">
        <v>38169</v>
      </c>
      <c r="B80">
        <v>1.1125</v>
      </c>
    </row>
    <row r="81" spans="1:2" x14ac:dyDescent="0.3">
      <c r="A81" s="27">
        <v>38200</v>
      </c>
      <c r="B81">
        <v>1.4648000000000001</v>
      </c>
    </row>
    <row r="82" spans="1:2" x14ac:dyDescent="0.3">
      <c r="A82" s="27">
        <v>38231</v>
      </c>
      <c r="B82">
        <v>1.17</v>
      </c>
    </row>
    <row r="83" spans="1:2" x14ac:dyDescent="0.3">
      <c r="A83" s="27">
        <v>38261</v>
      </c>
      <c r="B83">
        <v>1.2013</v>
      </c>
    </row>
    <row r="84" spans="1:2" x14ac:dyDescent="0.3">
      <c r="A84" s="27">
        <v>38292</v>
      </c>
      <c r="B84">
        <v>0.62760000000000005</v>
      </c>
    </row>
    <row r="85" spans="1:2" x14ac:dyDescent="0.3">
      <c r="A85" s="27">
        <v>38322</v>
      </c>
      <c r="B85">
        <v>0.6673</v>
      </c>
    </row>
    <row r="86" spans="1:2" x14ac:dyDescent="0.3">
      <c r="A86" s="27">
        <v>38353</v>
      </c>
      <c r="B86">
        <v>0.57650000000000001</v>
      </c>
    </row>
    <row r="87" spans="1:2" x14ac:dyDescent="0.3">
      <c r="A87" s="27">
        <v>38384</v>
      </c>
      <c r="B87">
        <v>0.66459999999999997</v>
      </c>
    </row>
    <row r="88" spans="1:2" x14ac:dyDescent="0.3">
      <c r="A88" s="27">
        <v>38412</v>
      </c>
      <c r="B88">
        <v>0.53900000000000003</v>
      </c>
    </row>
    <row r="89" spans="1:2" x14ac:dyDescent="0.3">
      <c r="A89" s="27">
        <v>38443</v>
      </c>
      <c r="B89">
        <v>0.67669999999999997</v>
      </c>
    </row>
    <row r="90" spans="1:2" x14ac:dyDescent="0.3">
      <c r="A90" s="27">
        <v>38473</v>
      </c>
      <c r="B90">
        <v>0.69030000000000002</v>
      </c>
    </row>
    <row r="91" spans="1:2" x14ac:dyDescent="0.3">
      <c r="A91" s="27">
        <v>38504</v>
      </c>
      <c r="B91">
        <v>0.97599999999999998</v>
      </c>
    </row>
    <row r="92" spans="1:2" x14ac:dyDescent="0.3">
      <c r="A92" s="27">
        <v>38534</v>
      </c>
      <c r="B92">
        <v>1.0707</v>
      </c>
    </row>
    <row r="93" spans="1:2" x14ac:dyDescent="0.3">
      <c r="A93" s="27">
        <v>38565</v>
      </c>
      <c r="B93">
        <v>1.5275000000000001</v>
      </c>
    </row>
    <row r="94" spans="1:2" x14ac:dyDescent="0.3">
      <c r="A94" s="27">
        <v>38596</v>
      </c>
      <c r="B94">
        <v>1.0331999999999999</v>
      </c>
    </row>
    <row r="95" spans="1:2" x14ac:dyDescent="0.3">
      <c r="A95" s="27">
        <v>38626</v>
      </c>
      <c r="B95">
        <v>0.76690000000000003</v>
      </c>
    </row>
    <row r="96" spans="1:2" x14ac:dyDescent="0.3">
      <c r="A96" s="27">
        <v>38657</v>
      </c>
      <c r="B96">
        <v>0.67110000000000003</v>
      </c>
    </row>
    <row r="97" spans="1:2" x14ac:dyDescent="0.3">
      <c r="A97" s="27">
        <v>38687</v>
      </c>
      <c r="B97">
        <v>0.68610000000000004</v>
      </c>
    </row>
    <row r="98" spans="1:2" x14ac:dyDescent="0.3">
      <c r="A98" s="27">
        <v>38718</v>
      </c>
      <c r="B98">
        <v>0.74380000000000002</v>
      </c>
    </row>
    <row r="99" spans="1:2" x14ac:dyDescent="0.3">
      <c r="A99" s="27">
        <v>38749</v>
      </c>
      <c r="B99">
        <v>0.90290000000000004</v>
      </c>
    </row>
    <row r="100" spans="1:2" x14ac:dyDescent="0.3">
      <c r="A100" s="27">
        <v>38777</v>
      </c>
      <c r="B100">
        <v>0.57979999999999998</v>
      </c>
    </row>
    <row r="101" spans="1:2" x14ac:dyDescent="0.3">
      <c r="A101" s="27">
        <v>38808</v>
      </c>
      <c r="B101">
        <v>0.64359999999999995</v>
      </c>
    </row>
    <row r="102" spans="1:2" x14ac:dyDescent="0.3">
      <c r="A102" s="27">
        <v>38838</v>
      </c>
      <c r="B102">
        <v>0.74980000000000002</v>
      </c>
    </row>
    <row r="103" spans="1:2" x14ac:dyDescent="0.3">
      <c r="A103" s="27">
        <v>38869</v>
      </c>
      <c r="B103">
        <v>0.8397</v>
      </c>
    </row>
    <row r="104" spans="1:2" x14ac:dyDescent="0.3">
      <c r="A104" s="27">
        <v>38899</v>
      </c>
      <c r="B104">
        <v>1.0643</v>
      </c>
    </row>
    <row r="105" spans="1:2" x14ac:dyDescent="0.3">
      <c r="A105" s="27">
        <v>38930</v>
      </c>
      <c r="B105">
        <v>1.2102999999999999</v>
      </c>
    </row>
    <row r="106" spans="1:2" x14ac:dyDescent="0.3">
      <c r="A106" s="27">
        <v>38961</v>
      </c>
      <c r="B106">
        <v>0.92279999999999995</v>
      </c>
    </row>
    <row r="107" spans="1:2" x14ac:dyDescent="0.3">
      <c r="A107" s="27">
        <v>38991</v>
      </c>
      <c r="B107">
        <v>0.85599999999999998</v>
      </c>
    </row>
    <row r="108" spans="1:2" x14ac:dyDescent="0.3">
      <c r="A108" s="27">
        <v>39022</v>
      </c>
      <c r="B108">
        <v>0.86260000000000003</v>
      </c>
    </row>
    <row r="109" spans="1:2" x14ac:dyDescent="0.3">
      <c r="A109" s="27">
        <v>39052</v>
      </c>
      <c r="B109">
        <v>0.76649999999999996</v>
      </c>
    </row>
    <row r="110" spans="1:2" x14ac:dyDescent="0.3">
      <c r="A110" s="27">
        <v>39083</v>
      </c>
      <c r="B110">
        <v>0.81710000000000005</v>
      </c>
    </row>
    <row r="111" spans="1:2" x14ac:dyDescent="0.3">
      <c r="A111" s="27">
        <v>39114</v>
      </c>
      <c r="B111">
        <v>0.73160000000000003</v>
      </c>
    </row>
    <row r="112" spans="1:2" x14ac:dyDescent="0.3">
      <c r="A112" s="27">
        <v>39142</v>
      </c>
      <c r="B112">
        <v>0.69140000000000001</v>
      </c>
    </row>
    <row r="113" spans="1:2" x14ac:dyDescent="0.3">
      <c r="A113" s="27">
        <v>39173</v>
      </c>
      <c r="B113">
        <v>0.5343</v>
      </c>
    </row>
    <row r="114" spans="1:2" x14ac:dyDescent="0.3">
      <c r="A114" s="27">
        <v>39203</v>
      </c>
      <c r="B114">
        <v>0.7228</v>
      </c>
    </row>
    <row r="115" spans="1:2" x14ac:dyDescent="0.3">
      <c r="A115" s="27">
        <v>39234</v>
      </c>
      <c r="B115">
        <v>0.71550000000000002</v>
      </c>
    </row>
    <row r="116" spans="1:2" x14ac:dyDescent="0.3">
      <c r="A116" s="27">
        <v>39264</v>
      </c>
      <c r="B116">
        <v>1.1554</v>
      </c>
    </row>
    <row r="117" spans="1:2" x14ac:dyDescent="0.3">
      <c r="A117" s="27">
        <v>39295</v>
      </c>
      <c r="B117">
        <v>1.3715999999999999</v>
      </c>
    </row>
    <row r="118" spans="1:2" x14ac:dyDescent="0.3">
      <c r="A118" s="27">
        <v>39326</v>
      </c>
      <c r="B118">
        <v>1.1895</v>
      </c>
    </row>
    <row r="119" spans="1:2" x14ac:dyDescent="0.3">
      <c r="A119" s="27">
        <v>39356</v>
      </c>
      <c r="B119">
        <v>1.1589</v>
      </c>
    </row>
    <row r="120" spans="1:2" x14ac:dyDescent="0.3">
      <c r="A120" s="27">
        <v>39387</v>
      </c>
      <c r="B120">
        <v>0.69989999999999997</v>
      </c>
    </row>
    <row r="121" spans="1:2" x14ac:dyDescent="0.3">
      <c r="A121" s="27">
        <v>39417</v>
      </c>
      <c r="B121">
        <v>0.75239999999999996</v>
      </c>
    </row>
    <row r="122" spans="1:2" x14ac:dyDescent="0.3">
      <c r="A122" s="27">
        <v>39448</v>
      </c>
      <c r="B122">
        <v>0.72409999999999997</v>
      </c>
    </row>
    <row r="123" spans="1:2" x14ac:dyDescent="0.3">
      <c r="A123" s="27">
        <v>39479</v>
      </c>
      <c r="B123">
        <v>0.76429999999999998</v>
      </c>
    </row>
    <row r="124" spans="1:2" x14ac:dyDescent="0.3">
      <c r="A124" s="27">
        <v>39508</v>
      </c>
      <c r="B124">
        <v>0.62509999999999999</v>
      </c>
    </row>
    <row r="125" spans="1:2" x14ac:dyDescent="0.3">
      <c r="A125" s="27">
        <v>39539</v>
      </c>
      <c r="B125">
        <v>0.5292</v>
      </c>
    </row>
    <row r="126" spans="1:2" x14ac:dyDescent="0.3">
      <c r="A126" s="27">
        <v>39569</v>
      </c>
      <c r="B126">
        <v>0.60929999999999995</v>
      </c>
    </row>
    <row r="127" spans="1:2" x14ac:dyDescent="0.3">
      <c r="A127" s="27">
        <v>39600</v>
      </c>
      <c r="B127">
        <v>0.90469999999999995</v>
      </c>
    </row>
    <row r="128" spans="1:2" x14ac:dyDescent="0.3">
      <c r="A128" s="27">
        <v>39630</v>
      </c>
      <c r="B128">
        <v>1.3757999999999999</v>
      </c>
    </row>
    <row r="129" spans="1:2" x14ac:dyDescent="0.3">
      <c r="A129" s="27">
        <v>39661</v>
      </c>
      <c r="B129">
        <v>1.6105</v>
      </c>
    </row>
    <row r="130" spans="1:2" x14ac:dyDescent="0.3">
      <c r="A130" s="27">
        <v>39692</v>
      </c>
      <c r="B130">
        <v>1.3383</v>
      </c>
    </row>
    <row r="131" spans="1:2" x14ac:dyDescent="0.3">
      <c r="A131" s="27">
        <v>39722</v>
      </c>
      <c r="B131">
        <v>1.623</v>
      </c>
    </row>
    <row r="132" spans="1:2" x14ac:dyDescent="0.3">
      <c r="A132" s="27">
        <v>39753</v>
      </c>
      <c r="B132">
        <v>0.72919999999999996</v>
      </c>
    </row>
    <row r="133" spans="1:2" x14ac:dyDescent="0.3">
      <c r="A133" s="27">
        <v>39783</v>
      </c>
      <c r="B133">
        <v>0.88759999999999994</v>
      </c>
    </row>
    <row r="134" spans="1:2" x14ac:dyDescent="0.3">
      <c r="A134" s="27">
        <v>39814</v>
      </c>
      <c r="B134">
        <v>1.169</v>
      </c>
    </row>
    <row r="135" spans="1:2" x14ac:dyDescent="0.3">
      <c r="A135" s="27">
        <v>39845</v>
      </c>
      <c r="B135">
        <v>0.77759999999999996</v>
      </c>
    </row>
    <row r="136" spans="1:2" x14ac:dyDescent="0.3">
      <c r="A136" s="27">
        <v>39873</v>
      </c>
      <c r="B136">
        <v>0.86770000000000003</v>
      </c>
    </row>
    <row r="137" spans="1:2" x14ac:dyDescent="0.3">
      <c r="A137" s="27">
        <v>39904</v>
      </c>
      <c r="B137">
        <v>1.2446999999999999</v>
      </c>
    </row>
    <row r="138" spans="1:2" x14ac:dyDescent="0.3">
      <c r="A138" s="27">
        <v>39934</v>
      </c>
      <c r="B138">
        <v>1.0274000000000001</v>
      </c>
    </row>
    <row r="139" spans="1:2" x14ac:dyDescent="0.3">
      <c r="A139" s="27">
        <v>39965</v>
      </c>
      <c r="B139">
        <v>1.1621999999999999</v>
      </c>
    </row>
    <row r="140" spans="1:2" x14ac:dyDescent="0.3">
      <c r="A140" s="27">
        <v>39995</v>
      </c>
      <c r="B140">
        <v>1.0254000000000001</v>
      </c>
    </row>
    <row r="141" spans="1:2" x14ac:dyDescent="0.3">
      <c r="A141" s="27">
        <v>40026</v>
      </c>
      <c r="B141">
        <v>1.1752</v>
      </c>
    </row>
    <row r="142" spans="1:2" x14ac:dyDescent="0.3">
      <c r="A142" s="27">
        <v>40057</v>
      </c>
      <c r="B142">
        <v>1.0234000000000001</v>
      </c>
    </row>
    <row r="143" spans="1:2" x14ac:dyDescent="0.3">
      <c r="A143" s="27">
        <v>40087</v>
      </c>
      <c r="B143">
        <v>1.2804</v>
      </c>
    </row>
    <row r="144" spans="1:2" x14ac:dyDescent="0.3">
      <c r="A144" s="27">
        <v>40118</v>
      </c>
      <c r="B144">
        <v>0.9032</v>
      </c>
    </row>
    <row r="145" spans="1:2" x14ac:dyDescent="0.3">
      <c r="A145" s="27">
        <v>40148</v>
      </c>
      <c r="B145">
        <v>0.77739999999999998</v>
      </c>
    </row>
    <row r="146" spans="1:2" x14ac:dyDescent="0.3">
      <c r="A146" s="27">
        <v>40179</v>
      </c>
      <c r="B146">
        <v>0.85870000000000002</v>
      </c>
    </row>
    <row r="147" spans="1:2" x14ac:dyDescent="0.3">
      <c r="A147" s="27">
        <v>40210</v>
      </c>
      <c r="B147">
        <v>1.1426000000000001</v>
      </c>
    </row>
    <row r="148" spans="1:2" x14ac:dyDescent="0.3">
      <c r="A148" s="27">
        <v>40238</v>
      </c>
      <c r="B148">
        <v>1.405</v>
      </c>
    </row>
    <row r="149" spans="1:2" x14ac:dyDescent="0.3">
      <c r="A149" s="27">
        <v>40269</v>
      </c>
      <c r="B149">
        <v>1.4219999999999999</v>
      </c>
    </row>
    <row r="150" spans="1:2" x14ac:dyDescent="0.3">
      <c r="A150" s="27">
        <v>40299</v>
      </c>
      <c r="B150">
        <v>0.97519999999999996</v>
      </c>
    </row>
    <row r="151" spans="1:2" x14ac:dyDescent="0.3">
      <c r="A151" s="27">
        <v>40330</v>
      </c>
      <c r="B151">
        <v>0.95609999999999995</v>
      </c>
    </row>
    <row r="152" spans="1:2" x14ac:dyDescent="0.3">
      <c r="A152" s="27">
        <v>40360</v>
      </c>
      <c r="B152">
        <v>0.96819999999999995</v>
      </c>
    </row>
    <row r="153" spans="1:2" x14ac:dyDescent="0.3">
      <c r="A153" s="27">
        <v>40391</v>
      </c>
      <c r="B153">
        <v>1.1795</v>
      </c>
    </row>
    <row r="154" spans="1:2" x14ac:dyDescent="0.3">
      <c r="A154" s="27">
        <v>40422</v>
      </c>
      <c r="B154">
        <v>0.96460000000000001</v>
      </c>
    </row>
    <row r="155" spans="1:2" x14ac:dyDescent="0.3">
      <c r="A155" s="27">
        <v>40452</v>
      </c>
      <c r="B155">
        <v>0.77939999999999998</v>
      </c>
    </row>
    <row r="156" spans="1:2" x14ac:dyDescent="0.3">
      <c r="A156" s="27">
        <v>40483</v>
      </c>
      <c r="B156">
        <v>0.6694</v>
      </c>
    </row>
    <row r="157" spans="1:2" x14ac:dyDescent="0.3">
      <c r="A157" s="27">
        <v>40513</v>
      </c>
      <c r="B157">
        <v>0.70579999999999998</v>
      </c>
    </row>
    <row r="158" spans="1:2" x14ac:dyDescent="0.3">
      <c r="A158" s="27"/>
    </row>
    <row r="159" spans="1:2" x14ac:dyDescent="0.3">
      <c r="A159" s="27"/>
    </row>
    <row r="160" spans="1:2" x14ac:dyDescent="0.3">
      <c r="A160" s="27"/>
    </row>
    <row r="161" spans="1:1" x14ac:dyDescent="0.3">
      <c r="A161" s="27"/>
    </row>
    <row r="162" spans="1:1" x14ac:dyDescent="0.3">
      <c r="A162" s="27"/>
    </row>
    <row r="163" spans="1:1" x14ac:dyDescent="0.3">
      <c r="A163" s="27"/>
    </row>
    <row r="164" spans="1:1" x14ac:dyDescent="0.3">
      <c r="A164" s="27"/>
    </row>
    <row r="165" spans="1:1" x14ac:dyDescent="0.3">
      <c r="A165" s="27"/>
    </row>
    <row r="166" spans="1:1" x14ac:dyDescent="0.3">
      <c r="A166" s="27"/>
    </row>
    <row r="167" spans="1:1" x14ac:dyDescent="0.3">
      <c r="A167" s="27"/>
    </row>
    <row r="168" spans="1:1" x14ac:dyDescent="0.3">
      <c r="A168" s="27"/>
    </row>
    <row r="169" spans="1:1" x14ac:dyDescent="0.3">
      <c r="A169" s="27"/>
    </row>
    <row r="170" spans="1:1" x14ac:dyDescent="0.3">
      <c r="A170" s="27"/>
    </row>
    <row r="171" spans="1:1" x14ac:dyDescent="0.3">
      <c r="A171" s="27"/>
    </row>
    <row r="172" spans="1:1" x14ac:dyDescent="0.3">
      <c r="A172" s="27"/>
    </row>
    <row r="173" spans="1:1" x14ac:dyDescent="0.3">
      <c r="A173" s="27"/>
    </row>
    <row r="174" spans="1:1" x14ac:dyDescent="0.3">
      <c r="A174" s="27"/>
    </row>
    <row r="175" spans="1:1" x14ac:dyDescent="0.3">
      <c r="A175" s="27"/>
    </row>
    <row r="176" spans="1:1" x14ac:dyDescent="0.3">
      <c r="A176" s="27"/>
    </row>
    <row r="177" spans="1:1" x14ac:dyDescent="0.3">
      <c r="A177" s="27"/>
    </row>
    <row r="178" spans="1:1" x14ac:dyDescent="0.3">
      <c r="A178" s="27"/>
    </row>
    <row r="179" spans="1:1" x14ac:dyDescent="0.3">
      <c r="A179" s="27"/>
    </row>
    <row r="180" spans="1:1" x14ac:dyDescent="0.3">
      <c r="A180" s="27"/>
    </row>
    <row r="181" spans="1:1" x14ac:dyDescent="0.3">
      <c r="A181" s="27"/>
    </row>
    <row r="182" spans="1:1" x14ac:dyDescent="0.3">
      <c r="A182" s="27"/>
    </row>
    <row r="183" spans="1:1" x14ac:dyDescent="0.3">
      <c r="A183" s="27"/>
    </row>
    <row r="184" spans="1:1" x14ac:dyDescent="0.3">
      <c r="A184" s="27"/>
    </row>
    <row r="185" spans="1:1" x14ac:dyDescent="0.3">
      <c r="A185" s="27"/>
    </row>
    <row r="186" spans="1:1" x14ac:dyDescent="0.3">
      <c r="A186" s="27"/>
    </row>
    <row r="187" spans="1:1" x14ac:dyDescent="0.3">
      <c r="A187" s="27"/>
    </row>
    <row r="188" spans="1:1" x14ac:dyDescent="0.3">
      <c r="A188" s="27"/>
    </row>
    <row r="189" spans="1:1" x14ac:dyDescent="0.3">
      <c r="A189" s="27"/>
    </row>
    <row r="190" spans="1:1" x14ac:dyDescent="0.3">
      <c r="A190" s="27"/>
    </row>
    <row r="191" spans="1:1" x14ac:dyDescent="0.3">
      <c r="A191" s="27"/>
    </row>
    <row r="192" spans="1:1" x14ac:dyDescent="0.3">
      <c r="A192" s="27"/>
    </row>
    <row r="193" spans="1:1" x14ac:dyDescent="0.3">
      <c r="A193" s="27"/>
    </row>
    <row r="194" spans="1:1" x14ac:dyDescent="0.3">
      <c r="A194" s="27"/>
    </row>
    <row r="195" spans="1:1" x14ac:dyDescent="0.3">
      <c r="A195" s="27"/>
    </row>
    <row r="196" spans="1:1" x14ac:dyDescent="0.3">
      <c r="A196" s="27"/>
    </row>
    <row r="197" spans="1:1" x14ac:dyDescent="0.3">
      <c r="A197" s="27"/>
    </row>
    <row r="198" spans="1:1" x14ac:dyDescent="0.3">
      <c r="A198" s="27"/>
    </row>
    <row r="199" spans="1:1" x14ac:dyDescent="0.3">
      <c r="A199" s="27"/>
    </row>
    <row r="200" spans="1:1" x14ac:dyDescent="0.3">
      <c r="A200" s="27"/>
    </row>
    <row r="201" spans="1:1" x14ac:dyDescent="0.3">
      <c r="A201" s="27"/>
    </row>
    <row r="202" spans="1:1" x14ac:dyDescent="0.3">
      <c r="A202" s="27"/>
    </row>
    <row r="203" spans="1:1" x14ac:dyDescent="0.3">
      <c r="A203" s="27"/>
    </row>
    <row r="204" spans="1:1" x14ac:dyDescent="0.3">
      <c r="A204" s="27"/>
    </row>
    <row r="205" spans="1:1" x14ac:dyDescent="0.3">
      <c r="A205" s="27"/>
    </row>
    <row r="206" spans="1:1" x14ac:dyDescent="0.3">
      <c r="A206" s="27"/>
    </row>
    <row r="207" spans="1:1" x14ac:dyDescent="0.3">
      <c r="A207" s="27"/>
    </row>
    <row r="208" spans="1:1" x14ac:dyDescent="0.3">
      <c r="A208" s="27"/>
    </row>
    <row r="209" spans="1:1" x14ac:dyDescent="0.3">
      <c r="A209" s="27"/>
    </row>
    <row r="210" spans="1:1" x14ac:dyDescent="0.3">
      <c r="A210" s="27"/>
    </row>
    <row r="211" spans="1:1" x14ac:dyDescent="0.3">
      <c r="A211" s="27"/>
    </row>
    <row r="212" spans="1:1" x14ac:dyDescent="0.3">
      <c r="A212" s="27"/>
    </row>
    <row r="213" spans="1:1" x14ac:dyDescent="0.3">
      <c r="A213" s="27"/>
    </row>
    <row r="214" spans="1:1" x14ac:dyDescent="0.3">
      <c r="A214" s="27"/>
    </row>
    <row r="215" spans="1:1" x14ac:dyDescent="0.3">
      <c r="A215" s="27"/>
    </row>
    <row r="216" spans="1:1" x14ac:dyDescent="0.3">
      <c r="A216" s="27"/>
    </row>
    <row r="217" spans="1:1" x14ac:dyDescent="0.3">
      <c r="A217" s="27"/>
    </row>
    <row r="218" spans="1:1" x14ac:dyDescent="0.3">
      <c r="A218" s="27"/>
    </row>
    <row r="219" spans="1:1" x14ac:dyDescent="0.3">
      <c r="A219" s="27"/>
    </row>
    <row r="220" spans="1:1" x14ac:dyDescent="0.3">
      <c r="A220" s="27"/>
    </row>
    <row r="221" spans="1:1" x14ac:dyDescent="0.3">
      <c r="A221" s="27"/>
    </row>
    <row r="222" spans="1:1" x14ac:dyDescent="0.3">
      <c r="A222" s="27"/>
    </row>
    <row r="223" spans="1:1" x14ac:dyDescent="0.3">
      <c r="A223" s="27"/>
    </row>
    <row r="224" spans="1:1" x14ac:dyDescent="0.3">
      <c r="A224" s="27"/>
    </row>
    <row r="225" spans="1:1" x14ac:dyDescent="0.3">
      <c r="A225" s="27"/>
    </row>
    <row r="226" spans="1:1" x14ac:dyDescent="0.3">
      <c r="A226" s="27"/>
    </row>
    <row r="227" spans="1:1" x14ac:dyDescent="0.3">
      <c r="A227" s="27"/>
    </row>
    <row r="228" spans="1:1" x14ac:dyDescent="0.3">
      <c r="A228" s="27"/>
    </row>
    <row r="229" spans="1:1" x14ac:dyDescent="0.3">
      <c r="A229" s="27"/>
    </row>
    <row r="230" spans="1:1" x14ac:dyDescent="0.3">
      <c r="A230" s="27"/>
    </row>
    <row r="231" spans="1:1" x14ac:dyDescent="0.3">
      <c r="A231" s="27"/>
    </row>
    <row r="232" spans="1:1" x14ac:dyDescent="0.3">
      <c r="A232" s="27"/>
    </row>
    <row r="233" spans="1:1" x14ac:dyDescent="0.3">
      <c r="A233" s="27"/>
    </row>
    <row r="234" spans="1:1" x14ac:dyDescent="0.3">
      <c r="A234" s="27"/>
    </row>
    <row r="235" spans="1:1" x14ac:dyDescent="0.3">
      <c r="A235" s="27"/>
    </row>
    <row r="236" spans="1:1" x14ac:dyDescent="0.3">
      <c r="A236" s="27"/>
    </row>
    <row r="237" spans="1:1" x14ac:dyDescent="0.3">
      <c r="A237" s="27"/>
    </row>
    <row r="238" spans="1:1" x14ac:dyDescent="0.3">
      <c r="A238" s="27"/>
    </row>
    <row r="239" spans="1:1" x14ac:dyDescent="0.3">
      <c r="A239" s="27"/>
    </row>
    <row r="240" spans="1:1" x14ac:dyDescent="0.3">
      <c r="A240" s="27"/>
    </row>
    <row r="241" spans="1:1" x14ac:dyDescent="0.3">
      <c r="A241" s="27"/>
    </row>
    <row r="242" spans="1:1" x14ac:dyDescent="0.3">
      <c r="A242" s="27"/>
    </row>
    <row r="243" spans="1:1" x14ac:dyDescent="0.3">
      <c r="A243" s="27"/>
    </row>
    <row r="244" spans="1:1" x14ac:dyDescent="0.3">
      <c r="A244" s="27"/>
    </row>
    <row r="245" spans="1:1" x14ac:dyDescent="0.3">
      <c r="A245" s="27"/>
    </row>
    <row r="246" spans="1:1" x14ac:dyDescent="0.3">
      <c r="A246" s="27"/>
    </row>
    <row r="247" spans="1:1" x14ac:dyDescent="0.3">
      <c r="A247" s="27"/>
    </row>
    <row r="248" spans="1:1" x14ac:dyDescent="0.3">
      <c r="A248" s="27"/>
    </row>
    <row r="249" spans="1:1" x14ac:dyDescent="0.3">
      <c r="A249" s="27"/>
    </row>
    <row r="250" spans="1:1" x14ac:dyDescent="0.3">
      <c r="A250" s="27"/>
    </row>
    <row r="251" spans="1:1" x14ac:dyDescent="0.3">
      <c r="A251" s="27"/>
    </row>
    <row r="252" spans="1:1" x14ac:dyDescent="0.3">
      <c r="A252" s="27"/>
    </row>
    <row r="253" spans="1:1" x14ac:dyDescent="0.3">
      <c r="A253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ARG8182</vt:lpstr>
      <vt:lpstr>JC9092</vt:lpstr>
      <vt:lpstr>JC9092 medias</vt:lpstr>
      <vt:lpstr>EUROGEL</vt:lpstr>
      <vt:lpstr>MMEM</vt:lpstr>
      <vt:lpstr>SATELITE</vt:lpstr>
    </vt:vector>
  </TitlesOfParts>
  <Company>www.intercambiosvirtuales.org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juanm.ruiz</dc:creator>
  <cp:lastModifiedBy>Julia</cp:lastModifiedBy>
  <dcterms:created xsi:type="dcterms:W3CDTF">2018-02-20T16:39:57Z</dcterms:created>
  <dcterms:modified xsi:type="dcterms:W3CDTF">2025-05-07T14:28:50Z</dcterms:modified>
</cp:coreProperties>
</file>