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bq\set5\"/>
    </mc:Choice>
  </mc:AlternateContent>
  <bookViews>
    <workbookView xWindow="375" yWindow="465" windowWidth="28035" windowHeight="16425"/>
  </bookViews>
  <sheets>
    <sheet name="satelite" sheetId="1" r:id="rId1"/>
    <sheet name="correl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2" l="1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35" i="2"/>
  <c r="E227" i="1"/>
  <c r="C223" i="1"/>
</calcChain>
</file>

<file path=xl/sharedStrings.xml><?xml version="1.0" encoding="utf-8"?>
<sst xmlns="http://schemas.openxmlformats.org/spreadsheetml/2006/main" count="17" uniqueCount="7">
  <si>
    <t>FECHA</t>
  </si>
  <si>
    <t>Chla satelital</t>
  </si>
  <si>
    <t>Chla satelital corregida</t>
  </si>
  <si>
    <t xml:space="preserve">       NaN</t>
  </si>
  <si>
    <t>(mg m^3)</t>
  </si>
  <si>
    <t>historico IEO/DMMEM</t>
  </si>
  <si>
    <t>sat correg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</si>
</sst>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17" fontId="0" fillId="0" borderId="1" xfId="0" applyNumberFormat="1" applyFill="1" applyBorder="1" applyAlignment="1" applyProtection="1">
      <alignment horizontal="left"/>
    </xf>
    <xf numFmtId="0" fontId="0" fillId="0" borderId="1" xfId="0" applyBorder="1"/>
    <xf numFmtId="17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tabSelected="1" workbookViewId="0">
      <selection activeCell="G16" sqref="G16"/>
    </sheetView>
  </sheetViews>
  <sheetFormatPr baseColWidth="10" defaultRowHeight="15.75" x14ac:dyDescent="0.25"/>
  <cols>
    <col min="1" max="1" width="14.625" style="2" customWidth="1"/>
    <col min="2" max="2" width="13.5" style="2" bestFit="1" customWidth="1"/>
    <col min="3" max="3" width="23.625" style="2" bestFit="1" customWidth="1"/>
  </cols>
  <sheetData>
    <row r="1" spans="1:5" s="4" customFormat="1" ht="18.75" x14ac:dyDescent="0.3">
      <c r="A1" s="3" t="s">
        <v>0</v>
      </c>
      <c r="B1" s="3" t="s">
        <v>1</v>
      </c>
      <c r="C1" s="3" t="s">
        <v>2</v>
      </c>
    </row>
    <row r="2" spans="1:5" x14ac:dyDescent="0.25">
      <c r="A2" s="1">
        <v>35796</v>
      </c>
      <c r="B2" s="2">
        <v>1.3978999999999999</v>
      </c>
      <c r="C2" s="2">
        <v>0.35730000000000001</v>
      </c>
      <c r="D2" s="6"/>
      <c r="E2" s="7"/>
    </row>
    <row r="3" spans="1:5" x14ac:dyDescent="0.25">
      <c r="A3" s="1">
        <v>35827</v>
      </c>
      <c r="B3" s="2">
        <v>1.7693000000000001</v>
      </c>
      <c r="C3" s="2">
        <v>0.45219999999999999</v>
      </c>
      <c r="D3" s="6"/>
      <c r="E3" s="7"/>
    </row>
    <row r="4" spans="1:5" x14ac:dyDescent="0.25">
      <c r="A4" s="1">
        <v>35855</v>
      </c>
      <c r="B4" s="2">
        <v>1.9127000000000001</v>
      </c>
      <c r="C4" s="2">
        <v>0.4889</v>
      </c>
      <c r="D4" s="6"/>
      <c r="E4" s="7"/>
    </row>
    <row r="5" spans="1:5" x14ac:dyDescent="0.25">
      <c r="A5" s="1">
        <v>35886</v>
      </c>
      <c r="B5" s="2">
        <v>1.2175</v>
      </c>
      <c r="C5" s="2">
        <v>0.31119999999999998</v>
      </c>
      <c r="D5" s="6"/>
      <c r="E5" s="7"/>
    </row>
    <row r="6" spans="1:5" x14ac:dyDescent="0.25">
      <c r="A6" s="1">
        <v>35916</v>
      </c>
      <c r="B6" s="2">
        <v>1.5295000000000001</v>
      </c>
      <c r="C6" s="2">
        <v>0.39090000000000003</v>
      </c>
      <c r="D6" s="6"/>
      <c r="E6" s="7"/>
    </row>
    <row r="7" spans="1:5" x14ac:dyDescent="0.25">
      <c r="A7" s="1">
        <v>35947</v>
      </c>
      <c r="B7" s="2">
        <v>1.7551000000000001</v>
      </c>
      <c r="C7" s="2">
        <v>0.4486</v>
      </c>
      <c r="D7" s="6"/>
      <c r="E7" s="7"/>
    </row>
    <row r="8" spans="1:5" x14ac:dyDescent="0.25">
      <c r="A8" s="1">
        <v>35977</v>
      </c>
      <c r="B8" s="2">
        <v>2.5840999999999998</v>
      </c>
      <c r="C8" s="2">
        <v>0.66049999999999998</v>
      </c>
      <c r="D8" s="6"/>
      <c r="E8" s="7"/>
    </row>
    <row r="9" spans="1:5" x14ac:dyDescent="0.25">
      <c r="A9" s="1">
        <v>36008</v>
      </c>
      <c r="B9" s="2">
        <v>2.4702999999999999</v>
      </c>
      <c r="C9" s="2">
        <v>0.63139999999999996</v>
      </c>
      <c r="D9" s="6"/>
      <c r="E9" s="7"/>
    </row>
    <row r="10" spans="1:5" x14ac:dyDescent="0.25">
      <c r="A10" s="1">
        <v>36039</v>
      </c>
      <c r="B10" s="2">
        <v>1.8593</v>
      </c>
      <c r="C10" s="2">
        <v>0.47520000000000001</v>
      </c>
      <c r="D10" s="6"/>
      <c r="E10" s="7"/>
    </row>
    <row r="11" spans="1:5" x14ac:dyDescent="0.25">
      <c r="A11" s="1">
        <v>36069</v>
      </c>
      <c r="B11" s="2">
        <v>2.0375000000000001</v>
      </c>
      <c r="C11" s="2">
        <v>0.52080000000000004</v>
      </c>
      <c r="D11" s="6"/>
      <c r="E11" s="7"/>
    </row>
    <row r="12" spans="1:5" x14ac:dyDescent="0.25">
      <c r="A12" s="1">
        <v>36100</v>
      </c>
      <c r="B12" s="2">
        <v>2.3976999999999999</v>
      </c>
      <c r="C12" s="2">
        <v>0.6129</v>
      </c>
      <c r="D12" s="6"/>
      <c r="E12" s="7"/>
    </row>
    <row r="13" spans="1:5" x14ac:dyDescent="0.25">
      <c r="A13" s="1">
        <v>36130</v>
      </c>
      <c r="B13" s="2">
        <v>1.8278000000000001</v>
      </c>
      <c r="C13" s="2">
        <v>0.4672</v>
      </c>
      <c r="D13" s="6"/>
      <c r="E13" s="7"/>
    </row>
    <row r="14" spans="1:5" x14ac:dyDescent="0.25">
      <c r="A14" s="1">
        <v>36161</v>
      </c>
      <c r="B14" s="2">
        <v>1.9444999999999999</v>
      </c>
      <c r="C14" s="2">
        <v>0.497</v>
      </c>
    </row>
    <row r="15" spans="1:5" x14ac:dyDescent="0.25">
      <c r="A15" s="1">
        <v>36192</v>
      </c>
      <c r="B15" s="2">
        <v>1.6815</v>
      </c>
      <c r="C15" s="2">
        <v>0.42980000000000002</v>
      </c>
    </row>
    <row r="16" spans="1:5" x14ac:dyDescent="0.25">
      <c r="A16" s="1">
        <v>36220</v>
      </c>
      <c r="B16" s="2">
        <v>1.3428</v>
      </c>
      <c r="C16" s="2">
        <v>0.34320000000000001</v>
      </c>
    </row>
    <row r="17" spans="1:3" x14ac:dyDescent="0.25">
      <c r="A17" s="1">
        <v>36251</v>
      </c>
      <c r="B17" s="2">
        <v>1.7584</v>
      </c>
      <c r="C17" s="2">
        <v>0.44940000000000002</v>
      </c>
    </row>
    <row r="18" spans="1:3" x14ac:dyDescent="0.25">
      <c r="A18" s="1">
        <v>36281</v>
      </c>
      <c r="B18" s="2">
        <v>2.6084000000000001</v>
      </c>
      <c r="C18" s="2">
        <v>0.66669999999999996</v>
      </c>
    </row>
    <row r="19" spans="1:3" x14ac:dyDescent="0.25">
      <c r="A19" s="1">
        <v>36312</v>
      </c>
      <c r="B19" s="2">
        <v>2.3597999999999999</v>
      </c>
      <c r="C19" s="2">
        <v>0.60319999999999996</v>
      </c>
    </row>
    <row r="20" spans="1:3" x14ac:dyDescent="0.25">
      <c r="A20" s="1">
        <v>36342</v>
      </c>
      <c r="B20" s="2">
        <v>2.0343</v>
      </c>
      <c r="C20" s="2">
        <v>0.52</v>
      </c>
    </row>
    <row r="21" spans="1:3" x14ac:dyDescent="0.25">
      <c r="A21" s="1">
        <v>36373</v>
      </c>
      <c r="B21" s="2">
        <v>1.5490999999999999</v>
      </c>
      <c r="C21" s="2">
        <v>0.39589999999999997</v>
      </c>
    </row>
    <row r="22" spans="1:3" x14ac:dyDescent="0.25">
      <c r="A22" s="1">
        <v>36404</v>
      </c>
      <c r="B22" s="2">
        <v>2.9615</v>
      </c>
      <c r="C22" s="2">
        <v>0.75700000000000001</v>
      </c>
    </row>
    <row r="23" spans="1:3" x14ac:dyDescent="0.25">
      <c r="A23" s="1">
        <v>36434</v>
      </c>
      <c r="B23" s="2">
        <v>2.0364</v>
      </c>
      <c r="C23" s="2">
        <v>0.52049999999999996</v>
      </c>
    </row>
    <row r="24" spans="1:3" x14ac:dyDescent="0.25">
      <c r="A24" s="1">
        <v>36465</v>
      </c>
      <c r="B24" s="2">
        <v>1.2851999999999999</v>
      </c>
      <c r="C24" s="2">
        <v>0.32850000000000001</v>
      </c>
    </row>
    <row r="25" spans="1:3" x14ac:dyDescent="0.25">
      <c r="A25" s="1">
        <v>36495</v>
      </c>
      <c r="B25" s="2">
        <v>1.5417000000000001</v>
      </c>
      <c r="C25" s="2">
        <v>0.39410000000000001</v>
      </c>
    </row>
    <row r="26" spans="1:3" x14ac:dyDescent="0.25">
      <c r="A26" s="1">
        <v>36526</v>
      </c>
      <c r="B26" s="2">
        <v>1.3581000000000001</v>
      </c>
      <c r="C26" s="2">
        <v>0.34710000000000002</v>
      </c>
    </row>
    <row r="27" spans="1:3" x14ac:dyDescent="0.25">
      <c r="A27" s="1">
        <v>36557</v>
      </c>
      <c r="B27" s="2">
        <v>2.4485999999999999</v>
      </c>
      <c r="C27" s="2">
        <v>0.62590000000000001</v>
      </c>
    </row>
    <row r="28" spans="1:3" x14ac:dyDescent="0.25">
      <c r="A28" s="1">
        <v>36586</v>
      </c>
      <c r="B28" s="2">
        <v>3.8355999999999999</v>
      </c>
      <c r="C28" s="2">
        <v>0.98040000000000005</v>
      </c>
    </row>
    <row r="29" spans="1:3" x14ac:dyDescent="0.25">
      <c r="A29" s="1">
        <v>36617</v>
      </c>
      <c r="B29" s="2">
        <v>3.3267000000000002</v>
      </c>
      <c r="C29" s="2">
        <v>0.85029999999999994</v>
      </c>
    </row>
    <row r="30" spans="1:3" x14ac:dyDescent="0.25">
      <c r="A30" s="1">
        <v>36647</v>
      </c>
      <c r="B30" s="2">
        <v>1.8259000000000001</v>
      </c>
      <c r="C30" s="2">
        <v>0.4667</v>
      </c>
    </row>
    <row r="31" spans="1:3" x14ac:dyDescent="0.25">
      <c r="A31" s="1">
        <v>36678</v>
      </c>
      <c r="B31" s="2">
        <v>2.3831000000000002</v>
      </c>
      <c r="C31" s="2">
        <v>0.60909999999999997</v>
      </c>
    </row>
    <row r="32" spans="1:3" x14ac:dyDescent="0.25">
      <c r="A32" s="1">
        <v>36708</v>
      </c>
      <c r="B32" s="2">
        <v>2.2736000000000001</v>
      </c>
      <c r="C32" s="2">
        <v>0.58109999999999995</v>
      </c>
    </row>
    <row r="33" spans="1:3" x14ac:dyDescent="0.25">
      <c r="A33" s="1">
        <v>36739</v>
      </c>
      <c r="B33" s="2">
        <v>1.8957999999999999</v>
      </c>
      <c r="C33" s="2">
        <v>0.48459999999999998</v>
      </c>
    </row>
    <row r="34" spans="1:3" x14ac:dyDescent="0.25">
      <c r="A34" s="1">
        <v>36770</v>
      </c>
      <c r="B34" s="2">
        <v>2.1474000000000002</v>
      </c>
      <c r="C34" s="2">
        <v>0.54890000000000005</v>
      </c>
    </row>
    <row r="35" spans="1:3" x14ac:dyDescent="0.25">
      <c r="A35" s="1">
        <v>36800</v>
      </c>
      <c r="B35" s="2">
        <v>2.6688000000000001</v>
      </c>
      <c r="C35" s="2">
        <v>0.68210000000000004</v>
      </c>
    </row>
    <row r="36" spans="1:3" x14ac:dyDescent="0.25">
      <c r="A36" s="1">
        <v>36831</v>
      </c>
      <c r="B36" s="2">
        <v>1.1507000000000001</v>
      </c>
      <c r="C36" s="2">
        <v>0.29409999999999997</v>
      </c>
    </row>
    <row r="37" spans="1:3" x14ac:dyDescent="0.25">
      <c r="A37" s="1">
        <v>36861</v>
      </c>
      <c r="B37" s="2">
        <v>2.4815999999999998</v>
      </c>
      <c r="C37" s="2">
        <v>0.63429999999999997</v>
      </c>
    </row>
    <row r="38" spans="1:3" x14ac:dyDescent="0.25">
      <c r="A38" s="1">
        <v>36892</v>
      </c>
      <c r="B38" s="2">
        <v>2.5407000000000002</v>
      </c>
      <c r="C38" s="2">
        <v>0.64939999999999998</v>
      </c>
    </row>
    <row r="39" spans="1:3" x14ac:dyDescent="0.25">
      <c r="A39" s="1">
        <v>36923</v>
      </c>
      <c r="B39" s="2">
        <v>2.3813</v>
      </c>
      <c r="C39" s="2">
        <v>0.60860000000000003</v>
      </c>
    </row>
    <row r="40" spans="1:3" x14ac:dyDescent="0.25">
      <c r="A40" s="1">
        <v>36951</v>
      </c>
      <c r="B40" s="2">
        <v>3.0165999999999999</v>
      </c>
      <c r="C40" s="2">
        <v>0.77100000000000002</v>
      </c>
    </row>
    <row r="41" spans="1:3" x14ac:dyDescent="0.25">
      <c r="A41" s="1">
        <v>36982</v>
      </c>
      <c r="B41" s="2">
        <v>3.0327999999999999</v>
      </c>
      <c r="C41" s="2">
        <v>0.7752</v>
      </c>
    </row>
    <row r="42" spans="1:3" x14ac:dyDescent="0.25">
      <c r="A42" s="1">
        <v>37012</v>
      </c>
      <c r="B42" s="2">
        <v>2.706</v>
      </c>
      <c r="C42" s="2">
        <v>0.69169999999999998</v>
      </c>
    </row>
    <row r="43" spans="1:3" x14ac:dyDescent="0.25">
      <c r="A43" s="1">
        <v>37043</v>
      </c>
      <c r="B43" s="2">
        <v>2.5209999999999999</v>
      </c>
      <c r="C43" s="2">
        <v>0.64439999999999997</v>
      </c>
    </row>
    <row r="44" spans="1:3" x14ac:dyDescent="0.25">
      <c r="A44" s="1">
        <v>37073</v>
      </c>
      <c r="B44" s="2">
        <v>2.9893000000000001</v>
      </c>
      <c r="C44" s="2">
        <v>0.7641</v>
      </c>
    </row>
    <row r="45" spans="1:3" x14ac:dyDescent="0.25">
      <c r="A45" s="1">
        <v>37104</v>
      </c>
      <c r="B45" s="2">
        <v>4.5658000000000003</v>
      </c>
      <c r="C45" s="2">
        <v>1.167</v>
      </c>
    </row>
    <row r="46" spans="1:3" x14ac:dyDescent="0.25">
      <c r="A46" s="1">
        <v>37135</v>
      </c>
      <c r="B46" s="2">
        <v>1.9435</v>
      </c>
      <c r="C46" s="2">
        <v>0.49669999999999997</v>
      </c>
    </row>
    <row r="47" spans="1:3" x14ac:dyDescent="0.25">
      <c r="A47" s="1">
        <v>37165</v>
      </c>
      <c r="B47" s="2">
        <v>1.2594000000000001</v>
      </c>
      <c r="C47" s="2">
        <v>0.32190000000000002</v>
      </c>
    </row>
    <row r="48" spans="1:3" x14ac:dyDescent="0.25">
      <c r="A48" s="1">
        <v>37196</v>
      </c>
      <c r="B48" s="2">
        <v>2.5106999999999999</v>
      </c>
      <c r="C48" s="2">
        <v>0.64170000000000005</v>
      </c>
    </row>
    <row r="49" spans="1:5" x14ac:dyDescent="0.25">
      <c r="A49" s="1">
        <v>37226</v>
      </c>
      <c r="B49" s="2">
        <v>1.5156000000000001</v>
      </c>
      <c r="C49" s="2">
        <v>0.38740000000000002</v>
      </c>
    </row>
    <row r="50" spans="1:5" x14ac:dyDescent="0.25">
      <c r="A50" s="1">
        <v>37257</v>
      </c>
      <c r="B50" s="2">
        <v>2.5708000000000002</v>
      </c>
      <c r="C50" s="2">
        <v>0.65710000000000002</v>
      </c>
    </row>
    <row r="51" spans="1:5" x14ac:dyDescent="0.25">
      <c r="A51" s="1">
        <v>37288</v>
      </c>
      <c r="B51" s="2">
        <v>2.0834999999999999</v>
      </c>
      <c r="C51" s="2">
        <v>0.53249999999999997</v>
      </c>
    </row>
    <row r="52" spans="1:5" x14ac:dyDescent="0.25">
      <c r="A52" s="1">
        <v>37316</v>
      </c>
      <c r="B52" s="2">
        <v>2.6259000000000001</v>
      </c>
      <c r="C52" s="2">
        <v>0.67120000000000002</v>
      </c>
    </row>
    <row r="53" spans="1:5" x14ac:dyDescent="0.25">
      <c r="A53" s="1">
        <v>37347</v>
      </c>
      <c r="B53" s="2">
        <v>3.9278</v>
      </c>
      <c r="C53" s="2">
        <v>1.004</v>
      </c>
    </row>
    <row r="54" spans="1:5" x14ac:dyDescent="0.25">
      <c r="A54" s="1">
        <v>37377</v>
      </c>
      <c r="B54" s="2">
        <v>4.2454999999999998</v>
      </c>
      <c r="C54" s="2">
        <v>1.0851999999999999</v>
      </c>
    </row>
    <row r="55" spans="1:5" x14ac:dyDescent="0.25">
      <c r="A55" s="1">
        <v>37408</v>
      </c>
      <c r="B55" s="2">
        <v>3.1787999999999998</v>
      </c>
      <c r="C55" s="2">
        <v>0.8125</v>
      </c>
    </row>
    <row r="56" spans="1:5" x14ac:dyDescent="0.25">
      <c r="A56" s="1">
        <v>37438</v>
      </c>
      <c r="B56" s="2">
        <v>3.5076999999999998</v>
      </c>
      <c r="C56" s="2">
        <v>0.89659999999999995</v>
      </c>
    </row>
    <row r="57" spans="1:5" x14ac:dyDescent="0.25">
      <c r="A57" s="1">
        <v>37469</v>
      </c>
      <c r="B57" s="2">
        <v>4.5199999999999996</v>
      </c>
      <c r="C57" s="2">
        <v>1.1553</v>
      </c>
    </row>
    <row r="58" spans="1:5" x14ac:dyDescent="0.25">
      <c r="A58" s="1">
        <v>37500</v>
      </c>
      <c r="B58" s="2">
        <v>4.1334</v>
      </c>
      <c r="C58" s="2">
        <v>1.0565</v>
      </c>
    </row>
    <row r="59" spans="1:5" x14ac:dyDescent="0.25">
      <c r="A59" s="1">
        <v>37530</v>
      </c>
      <c r="B59" s="2">
        <v>2.9579</v>
      </c>
      <c r="C59" s="2">
        <v>0.75600000000000001</v>
      </c>
    </row>
    <row r="60" spans="1:5" x14ac:dyDescent="0.25">
      <c r="A60" s="1">
        <v>37561</v>
      </c>
      <c r="B60" s="2">
        <v>2.4449000000000001</v>
      </c>
      <c r="C60" s="2">
        <v>0.62490000000000001</v>
      </c>
    </row>
    <row r="61" spans="1:5" x14ac:dyDescent="0.25">
      <c r="A61" s="1">
        <v>37591</v>
      </c>
      <c r="B61" s="2">
        <v>2.1404999999999998</v>
      </c>
      <c r="C61" s="2">
        <v>0.54710000000000003</v>
      </c>
    </row>
    <row r="62" spans="1:5" x14ac:dyDescent="0.25">
      <c r="A62" s="1">
        <v>37622</v>
      </c>
      <c r="B62" s="2">
        <v>2.2787000000000002</v>
      </c>
      <c r="C62" s="2">
        <v>0.58240000000000003</v>
      </c>
      <c r="D62" s="8">
        <v>37622</v>
      </c>
      <c r="E62">
        <v>0.56000000000000005</v>
      </c>
    </row>
    <row r="63" spans="1:5" x14ac:dyDescent="0.25">
      <c r="A63" s="1">
        <v>37653</v>
      </c>
      <c r="B63" s="2">
        <v>1.9036</v>
      </c>
      <c r="C63" s="2">
        <v>0.48659999999999998</v>
      </c>
      <c r="D63" s="8">
        <v>37653</v>
      </c>
      <c r="E63">
        <v>0.57999999999999996</v>
      </c>
    </row>
    <row r="64" spans="1:5" x14ac:dyDescent="0.25">
      <c r="A64" s="1">
        <v>37681</v>
      </c>
      <c r="B64" s="2">
        <v>2.0771000000000002</v>
      </c>
      <c r="C64" s="2">
        <v>0.53090000000000004</v>
      </c>
      <c r="D64" s="8">
        <v>37681</v>
      </c>
      <c r="E64">
        <v>0.62</v>
      </c>
    </row>
    <row r="65" spans="1:5" x14ac:dyDescent="0.25">
      <c r="A65" s="1">
        <v>37712</v>
      </c>
      <c r="B65" s="2">
        <v>2.0066999999999999</v>
      </c>
      <c r="C65" s="2">
        <v>0.51290000000000002</v>
      </c>
      <c r="D65" s="8">
        <v>37712</v>
      </c>
      <c r="E65">
        <v>0.83</v>
      </c>
    </row>
    <row r="66" spans="1:5" x14ac:dyDescent="0.25">
      <c r="A66" s="1">
        <v>37742</v>
      </c>
      <c r="B66" s="2">
        <v>2.3855</v>
      </c>
      <c r="C66" s="2">
        <v>0.60970000000000002</v>
      </c>
      <c r="D66" s="8">
        <v>37742</v>
      </c>
      <c r="E66">
        <v>0.85</v>
      </c>
    </row>
    <row r="67" spans="1:5" x14ac:dyDescent="0.25">
      <c r="A67" s="1">
        <v>37773</v>
      </c>
      <c r="B67" s="2">
        <v>3.198</v>
      </c>
      <c r="C67" s="2">
        <v>0.81740000000000002</v>
      </c>
      <c r="D67" s="8">
        <v>37773</v>
      </c>
      <c r="E67">
        <v>0.9</v>
      </c>
    </row>
    <row r="68" spans="1:5" x14ac:dyDescent="0.25">
      <c r="A68" s="1">
        <v>37803</v>
      </c>
      <c r="B68" s="2">
        <v>3.8237000000000001</v>
      </c>
      <c r="C68" s="2">
        <v>0.97729999999999995</v>
      </c>
      <c r="D68" s="8">
        <v>37803</v>
      </c>
      <c r="E68">
        <v>0.77</v>
      </c>
    </row>
    <row r="69" spans="1:5" x14ac:dyDescent="0.25">
      <c r="A69" s="1">
        <v>37834</v>
      </c>
      <c r="B69" s="2">
        <v>4.7008000000000001</v>
      </c>
      <c r="C69" s="2">
        <v>1.2015</v>
      </c>
      <c r="D69" s="8">
        <v>37834</v>
      </c>
      <c r="E69">
        <v>0.66</v>
      </c>
    </row>
    <row r="70" spans="1:5" x14ac:dyDescent="0.25">
      <c r="A70" s="1">
        <v>37865</v>
      </c>
      <c r="B70" s="2">
        <v>4.5393999999999997</v>
      </c>
      <c r="C70" s="2">
        <v>1.1603000000000001</v>
      </c>
      <c r="D70" s="8">
        <v>37865</v>
      </c>
      <c r="E70">
        <v>0.74</v>
      </c>
    </row>
    <row r="71" spans="1:5" x14ac:dyDescent="0.25">
      <c r="A71" s="1">
        <v>37895</v>
      </c>
      <c r="B71" s="2">
        <v>3.4714999999999998</v>
      </c>
      <c r="C71" s="2">
        <v>0.88729999999999998</v>
      </c>
      <c r="D71" s="8">
        <v>37895</v>
      </c>
      <c r="E71">
        <v>0.87</v>
      </c>
    </row>
    <row r="72" spans="1:5" x14ac:dyDescent="0.25">
      <c r="A72" s="1">
        <v>37926</v>
      </c>
      <c r="B72" s="2">
        <v>2.6395</v>
      </c>
      <c r="C72" s="2">
        <v>0.67469999999999997</v>
      </c>
      <c r="D72" s="8">
        <v>37926</v>
      </c>
      <c r="E72">
        <v>0.84</v>
      </c>
    </row>
    <row r="73" spans="1:5" x14ac:dyDescent="0.25">
      <c r="A73" s="1">
        <v>37956</v>
      </c>
      <c r="B73" s="2">
        <v>2.4733999999999998</v>
      </c>
      <c r="C73" s="2">
        <v>0.63219999999999998</v>
      </c>
      <c r="D73" s="8">
        <v>37956</v>
      </c>
      <c r="E73">
        <v>0.72</v>
      </c>
    </row>
    <row r="74" spans="1:5" x14ac:dyDescent="0.25">
      <c r="A74" s="1">
        <v>37987</v>
      </c>
      <c r="B74" s="2">
        <v>3.4923999999999999</v>
      </c>
      <c r="C74" s="2">
        <v>0.89270000000000005</v>
      </c>
      <c r="D74" s="8">
        <v>37987</v>
      </c>
      <c r="E74">
        <v>0.67</v>
      </c>
    </row>
    <row r="75" spans="1:5" x14ac:dyDescent="0.25">
      <c r="A75" s="1">
        <v>38018</v>
      </c>
      <c r="B75" s="2">
        <v>2.149</v>
      </c>
      <c r="C75" s="2">
        <v>0.54930000000000001</v>
      </c>
      <c r="D75" s="8">
        <v>38018</v>
      </c>
      <c r="E75">
        <v>0.54</v>
      </c>
    </row>
    <row r="76" spans="1:5" x14ac:dyDescent="0.25">
      <c r="A76" s="1">
        <v>38047</v>
      </c>
      <c r="B76" s="2">
        <v>1.9542999999999999</v>
      </c>
      <c r="C76" s="2">
        <v>0.4995</v>
      </c>
      <c r="D76" s="8">
        <v>38047</v>
      </c>
      <c r="E76">
        <v>0.89</v>
      </c>
    </row>
    <row r="77" spans="1:5" x14ac:dyDescent="0.25">
      <c r="A77" s="1">
        <v>38078</v>
      </c>
      <c r="B77" s="2">
        <v>1.9971000000000001</v>
      </c>
      <c r="C77" s="2">
        <v>0.51049999999999995</v>
      </c>
      <c r="D77" s="8">
        <v>38078</v>
      </c>
      <c r="E77">
        <v>1.026</v>
      </c>
    </row>
    <row r="78" spans="1:5" x14ac:dyDescent="0.25">
      <c r="A78" s="1">
        <v>38108</v>
      </c>
      <c r="B78" s="2">
        <v>2.4611999999999998</v>
      </c>
      <c r="C78" s="2">
        <v>0.62909999999999999</v>
      </c>
      <c r="D78" s="8">
        <v>38108</v>
      </c>
      <c r="E78">
        <v>0.89</v>
      </c>
    </row>
    <row r="79" spans="1:5" x14ac:dyDescent="0.25">
      <c r="A79" s="1">
        <v>38139</v>
      </c>
      <c r="B79" s="2">
        <v>3.0602</v>
      </c>
      <c r="C79" s="2">
        <v>0.78220000000000001</v>
      </c>
      <c r="D79" s="8">
        <v>38139</v>
      </c>
      <c r="E79">
        <v>0.63</v>
      </c>
    </row>
    <row r="80" spans="1:5" x14ac:dyDescent="0.25">
      <c r="A80" s="1">
        <v>38169</v>
      </c>
      <c r="B80" s="2">
        <v>4.3524000000000003</v>
      </c>
      <c r="C80" s="2">
        <v>1.1125</v>
      </c>
      <c r="D80" s="8">
        <v>38169</v>
      </c>
      <c r="E80">
        <v>0.34399999999999997</v>
      </c>
    </row>
    <row r="81" spans="1:5" x14ac:dyDescent="0.25">
      <c r="A81" s="1">
        <v>38200</v>
      </c>
      <c r="B81" s="2">
        <v>5.7306999999999997</v>
      </c>
      <c r="C81" s="2">
        <v>1.4648000000000001</v>
      </c>
      <c r="D81" s="8">
        <v>38200</v>
      </c>
      <c r="E81">
        <v>0.18</v>
      </c>
    </row>
    <row r="82" spans="1:5" x14ac:dyDescent="0.25">
      <c r="A82" s="1">
        <v>38231</v>
      </c>
      <c r="B82" s="2">
        <v>4.5773999999999999</v>
      </c>
      <c r="C82" s="2">
        <v>1.17</v>
      </c>
      <c r="D82" s="8">
        <v>38231</v>
      </c>
      <c r="E82">
        <v>0.69</v>
      </c>
    </row>
    <row r="83" spans="1:5" x14ac:dyDescent="0.25">
      <c r="A83" s="1">
        <v>38261</v>
      </c>
      <c r="B83" s="2">
        <v>4.6997</v>
      </c>
      <c r="C83" s="2">
        <v>1.2013</v>
      </c>
      <c r="D83" s="8">
        <v>38261</v>
      </c>
      <c r="E83">
        <v>0.61</v>
      </c>
    </row>
    <row r="84" spans="1:5" x14ac:dyDescent="0.25">
      <c r="A84" s="1">
        <v>38292</v>
      </c>
      <c r="B84" s="2">
        <v>2.4552</v>
      </c>
      <c r="C84" s="2">
        <v>0.62760000000000005</v>
      </c>
      <c r="D84" s="8">
        <v>38292</v>
      </c>
      <c r="E84">
        <v>0.53</v>
      </c>
    </row>
    <row r="85" spans="1:5" x14ac:dyDescent="0.25">
      <c r="A85" s="1">
        <v>38322</v>
      </c>
      <c r="B85" s="2">
        <v>2.6107</v>
      </c>
      <c r="C85" s="2">
        <v>0.6673</v>
      </c>
      <c r="D85" s="8">
        <v>38322</v>
      </c>
      <c r="E85">
        <v>0.76</v>
      </c>
    </row>
    <row r="86" spans="1:5" x14ac:dyDescent="0.25">
      <c r="A86" s="1">
        <v>38353</v>
      </c>
      <c r="B86" s="2">
        <v>2.2553000000000001</v>
      </c>
      <c r="C86" s="2">
        <v>0.57650000000000001</v>
      </c>
    </row>
    <row r="87" spans="1:5" x14ac:dyDescent="0.25">
      <c r="A87" s="1">
        <v>38384</v>
      </c>
      <c r="B87" s="2">
        <v>2.6000999999999999</v>
      </c>
      <c r="C87" s="2">
        <v>0.66459999999999997</v>
      </c>
    </row>
    <row r="88" spans="1:5" x14ac:dyDescent="0.25">
      <c r="A88" s="1">
        <v>38412</v>
      </c>
      <c r="B88" s="2">
        <v>2.1088</v>
      </c>
      <c r="C88" s="2">
        <v>0.53900000000000003</v>
      </c>
    </row>
    <row r="89" spans="1:5" x14ac:dyDescent="0.25">
      <c r="A89" s="1">
        <v>38443</v>
      </c>
      <c r="B89" s="2">
        <v>2.6476999999999999</v>
      </c>
      <c r="C89" s="2">
        <v>0.67669999999999997</v>
      </c>
    </row>
    <row r="90" spans="1:5" x14ac:dyDescent="0.25">
      <c r="A90" s="1">
        <v>38473</v>
      </c>
      <c r="B90" s="2">
        <v>2.7006999999999999</v>
      </c>
      <c r="C90" s="2">
        <v>0.69030000000000002</v>
      </c>
    </row>
    <row r="91" spans="1:5" x14ac:dyDescent="0.25">
      <c r="A91" s="1">
        <v>38504</v>
      </c>
      <c r="B91" s="2">
        <v>3.8184</v>
      </c>
      <c r="C91" s="2">
        <v>0.97599999999999998</v>
      </c>
    </row>
    <row r="92" spans="1:5" x14ac:dyDescent="0.25">
      <c r="A92" s="1">
        <v>38534</v>
      </c>
      <c r="B92" s="2">
        <v>4.1887999999999996</v>
      </c>
      <c r="C92" s="2">
        <v>1.0707</v>
      </c>
    </row>
    <row r="93" spans="1:5" x14ac:dyDescent="0.25">
      <c r="A93" s="1">
        <v>38565</v>
      </c>
      <c r="B93" s="2">
        <v>5.9760999999999997</v>
      </c>
      <c r="C93" s="2">
        <v>1.5275000000000001</v>
      </c>
    </row>
    <row r="94" spans="1:5" x14ac:dyDescent="0.25">
      <c r="A94" s="1">
        <v>38596</v>
      </c>
      <c r="B94" s="2">
        <v>4.0420999999999996</v>
      </c>
      <c r="C94" s="2">
        <v>1.0331999999999999</v>
      </c>
    </row>
    <row r="95" spans="1:5" x14ac:dyDescent="0.25">
      <c r="A95" s="1">
        <v>38626</v>
      </c>
      <c r="B95" s="2">
        <v>3.0004</v>
      </c>
      <c r="C95" s="2">
        <v>0.76690000000000003</v>
      </c>
    </row>
    <row r="96" spans="1:5" x14ac:dyDescent="0.25">
      <c r="A96" s="1">
        <v>38657</v>
      </c>
      <c r="B96" s="2">
        <v>2.6255000000000002</v>
      </c>
      <c r="C96" s="2">
        <v>0.67110000000000003</v>
      </c>
    </row>
    <row r="97" spans="1:3" x14ac:dyDescent="0.25">
      <c r="A97" s="1">
        <v>38687</v>
      </c>
      <c r="B97" s="2">
        <v>2.6844000000000001</v>
      </c>
      <c r="C97" s="2">
        <v>0.68610000000000004</v>
      </c>
    </row>
    <row r="98" spans="1:3" x14ac:dyDescent="0.25">
      <c r="A98" s="1">
        <v>38718</v>
      </c>
      <c r="B98" s="2">
        <v>2.9098999999999999</v>
      </c>
      <c r="C98" s="2">
        <v>0.74380000000000002</v>
      </c>
    </row>
    <row r="99" spans="1:3" x14ac:dyDescent="0.25">
      <c r="A99" s="1">
        <v>38749</v>
      </c>
      <c r="B99" s="2">
        <v>3.5324</v>
      </c>
      <c r="C99" s="2">
        <v>0.90290000000000004</v>
      </c>
    </row>
    <row r="100" spans="1:3" x14ac:dyDescent="0.25">
      <c r="A100" s="1">
        <v>38777</v>
      </c>
      <c r="B100" s="2">
        <v>2.2685</v>
      </c>
      <c r="C100" s="2">
        <v>0.57979999999999998</v>
      </c>
    </row>
    <row r="101" spans="1:3" x14ac:dyDescent="0.25">
      <c r="A101" s="1">
        <v>38808</v>
      </c>
      <c r="B101" s="2">
        <v>2.5181</v>
      </c>
      <c r="C101" s="2">
        <v>0.64359999999999995</v>
      </c>
    </row>
    <row r="102" spans="1:3" x14ac:dyDescent="0.25">
      <c r="A102" s="1">
        <v>38838</v>
      </c>
      <c r="B102" s="2">
        <v>2.9333</v>
      </c>
      <c r="C102" s="2">
        <v>0.74980000000000002</v>
      </c>
    </row>
    <row r="103" spans="1:3" x14ac:dyDescent="0.25">
      <c r="A103" s="1">
        <v>38869</v>
      </c>
      <c r="B103" s="2">
        <v>3.2852999999999999</v>
      </c>
      <c r="C103" s="2">
        <v>0.8397</v>
      </c>
    </row>
    <row r="104" spans="1:3" x14ac:dyDescent="0.25">
      <c r="A104" s="1">
        <v>38899</v>
      </c>
      <c r="B104" s="2">
        <v>4.1638000000000002</v>
      </c>
      <c r="C104" s="2">
        <v>1.0643</v>
      </c>
    </row>
    <row r="105" spans="1:3" x14ac:dyDescent="0.25">
      <c r="A105" s="1">
        <v>38930</v>
      </c>
      <c r="B105" s="2">
        <v>4.7351000000000001</v>
      </c>
      <c r="C105" s="2">
        <v>1.2102999999999999</v>
      </c>
    </row>
    <row r="106" spans="1:3" x14ac:dyDescent="0.25">
      <c r="A106" s="1">
        <v>38961</v>
      </c>
      <c r="B106" s="2">
        <v>3.6105</v>
      </c>
      <c r="C106" s="2">
        <v>0.92279999999999995</v>
      </c>
    </row>
    <row r="107" spans="1:3" x14ac:dyDescent="0.25">
      <c r="A107" s="1">
        <v>38991</v>
      </c>
      <c r="B107" s="2">
        <v>3.3488000000000002</v>
      </c>
      <c r="C107" s="2">
        <v>0.85599999999999998</v>
      </c>
    </row>
    <row r="108" spans="1:3" x14ac:dyDescent="0.25">
      <c r="A108" s="1">
        <v>39022</v>
      </c>
      <c r="B108" s="2">
        <v>3.3748</v>
      </c>
      <c r="C108" s="2">
        <v>0.86260000000000003</v>
      </c>
    </row>
    <row r="109" spans="1:3" x14ac:dyDescent="0.25">
      <c r="A109" s="1">
        <v>39052</v>
      </c>
      <c r="B109" s="2">
        <v>2.9986999999999999</v>
      </c>
      <c r="C109" s="2">
        <v>0.76649999999999996</v>
      </c>
    </row>
    <row r="110" spans="1:3" x14ac:dyDescent="0.25">
      <c r="A110" s="1">
        <v>39083</v>
      </c>
      <c r="B110" s="2">
        <v>3.1970000000000001</v>
      </c>
      <c r="C110" s="2">
        <v>0.81710000000000005</v>
      </c>
    </row>
    <row r="111" spans="1:3" x14ac:dyDescent="0.25">
      <c r="A111" s="1">
        <v>39114</v>
      </c>
      <c r="B111" s="2">
        <v>2.8622999999999998</v>
      </c>
      <c r="C111" s="2">
        <v>0.73160000000000003</v>
      </c>
    </row>
    <row r="112" spans="1:3" x14ac:dyDescent="0.25">
      <c r="A112" s="1">
        <v>39142</v>
      </c>
      <c r="B112" s="2">
        <v>2.7048999999999999</v>
      </c>
      <c r="C112" s="2">
        <v>0.69140000000000001</v>
      </c>
    </row>
    <row r="113" spans="1:3" x14ac:dyDescent="0.25">
      <c r="A113" s="1">
        <v>39173</v>
      </c>
      <c r="B113" s="2">
        <v>2.0901999999999998</v>
      </c>
      <c r="C113" s="2">
        <v>0.5343</v>
      </c>
    </row>
    <row r="114" spans="1:3" x14ac:dyDescent="0.25">
      <c r="A114" s="1">
        <v>39203</v>
      </c>
      <c r="B114" s="2">
        <v>2.8279000000000001</v>
      </c>
      <c r="C114" s="2">
        <v>0.7228</v>
      </c>
    </row>
    <row r="115" spans="1:3" x14ac:dyDescent="0.25">
      <c r="A115" s="1">
        <v>39234</v>
      </c>
      <c r="B115" s="2">
        <v>2.7991999999999999</v>
      </c>
      <c r="C115" s="2">
        <v>0.71550000000000002</v>
      </c>
    </row>
    <row r="116" spans="1:3" x14ac:dyDescent="0.25">
      <c r="A116" s="1">
        <v>39264</v>
      </c>
      <c r="B116" s="2">
        <v>4.5202999999999998</v>
      </c>
      <c r="C116" s="2">
        <v>1.1554</v>
      </c>
    </row>
    <row r="117" spans="1:3" x14ac:dyDescent="0.25">
      <c r="A117" s="1">
        <v>39295</v>
      </c>
      <c r="B117" s="2">
        <v>5.3661000000000003</v>
      </c>
      <c r="C117" s="2">
        <v>1.3715999999999999</v>
      </c>
    </row>
    <row r="118" spans="1:3" x14ac:dyDescent="0.25">
      <c r="A118" s="1">
        <v>39326</v>
      </c>
      <c r="B118" s="2">
        <v>4.6536</v>
      </c>
      <c r="C118" s="2">
        <v>1.1895</v>
      </c>
    </row>
    <row r="119" spans="1:3" x14ac:dyDescent="0.25">
      <c r="A119" s="1">
        <v>39356</v>
      </c>
      <c r="B119" s="2">
        <v>4.5339</v>
      </c>
      <c r="C119" s="2">
        <v>1.1589</v>
      </c>
    </row>
    <row r="120" spans="1:3" x14ac:dyDescent="0.25">
      <c r="A120" s="1">
        <v>39387</v>
      </c>
      <c r="B120" s="2">
        <v>2.7382</v>
      </c>
      <c r="C120" s="2">
        <v>0.69989999999999997</v>
      </c>
    </row>
    <row r="121" spans="1:3" x14ac:dyDescent="0.25">
      <c r="A121" s="1">
        <v>39417</v>
      </c>
      <c r="B121" s="2">
        <v>2.9437000000000002</v>
      </c>
      <c r="C121" s="2">
        <v>0.75239999999999996</v>
      </c>
    </row>
    <row r="122" spans="1:3" x14ac:dyDescent="0.25">
      <c r="A122" s="1">
        <v>39448</v>
      </c>
      <c r="B122" s="2">
        <v>2.8329</v>
      </c>
      <c r="C122" s="2">
        <v>0.72409999999999997</v>
      </c>
    </row>
    <row r="123" spans="1:3" x14ac:dyDescent="0.25">
      <c r="A123" s="1">
        <v>39479</v>
      </c>
      <c r="B123" s="2">
        <v>2.9901</v>
      </c>
      <c r="C123" s="2">
        <v>0.76429999999999998</v>
      </c>
    </row>
    <row r="124" spans="1:3" x14ac:dyDescent="0.25">
      <c r="A124" s="1">
        <v>39508</v>
      </c>
      <c r="B124" s="2">
        <v>2.4456000000000002</v>
      </c>
      <c r="C124" s="2">
        <v>0.62509999999999999</v>
      </c>
    </row>
    <row r="125" spans="1:3" x14ac:dyDescent="0.25">
      <c r="A125" s="1">
        <v>39539</v>
      </c>
      <c r="B125" s="2">
        <v>2.0703</v>
      </c>
      <c r="C125" s="2">
        <v>0.5292</v>
      </c>
    </row>
    <row r="126" spans="1:3" x14ac:dyDescent="0.25">
      <c r="A126" s="1">
        <v>39569</v>
      </c>
      <c r="B126" s="2">
        <v>2.3839000000000001</v>
      </c>
      <c r="C126" s="2">
        <v>0.60929999999999995</v>
      </c>
    </row>
    <row r="127" spans="1:3" x14ac:dyDescent="0.25">
      <c r="A127" s="1">
        <v>39600</v>
      </c>
      <c r="B127" s="2">
        <v>3.5396000000000001</v>
      </c>
      <c r="C127" s="2">
        <v>0.90469999999999995</v>
      </c>
    </row>
    <row r="128" spans="1:3" x14ac:dyDescent="0.25">
      <c r="A128" s="1">
        <v>39630</v>
      </c>
      <c r="B128" s="2">
        <v>5.3825000000000003</v>
      </c>
      <c r="C128" s="2">
        <v>1.3757999999999999</v>
      </c>
    </row>
    <row r="129" spans="1:3" x14ac:dyDescent="0.25">
      <c r="A129" s="1">
        <v>39661</v>
      </c>
      <c r="B129" s="2">
        <v>6.3009000000000004</v>
      </c>
      <c r="C129" s="2">
        <v>1.6105</v>
      </c>
    </row>
    <row r="130" spans="1:3" x14ac:dyDescent="0.25">
      <c r="A130" s="1">
        <v>39692</v>
      </c>
      <c r="B130" s="2">
        <v>5.2358000000000002</v>
      </c>
      <c r="C130" s="2">
        <v>1.3383</v>
      </c>
    </row>
    <row r="131" spans="1:3" x14ac:dyDescent="0.25">
      <c r="A131" s="1">
        <v>39722</v>
      </c>
      <c r="B131" s="2">
        <v>6.3495999999999997</v>
      </c>
      <c r="C131" s="2">
        <v>1.623</v>
      </c>
    </row>
    <row r="132" spans="1:3" x14ac:dyDescent="0.25">
      <c r="A132" s="1">
        <v>39753</v>
      </c>
      <c r="B132" s="2">
        <v>2.8531</v>
      </c>
      <c r="C132" s="2">
        <v>0.72919999999999996</v>
      </c>
    </row>
    <row r="133" spans="1:3" x14ac:dyDescent="0.25">
      <c r="A133" s="1">
        <v>39783</v>
      </c>
      <c r="B133" s="2">
        <v>3.4725999999999999</v>
      </c>
      <c r="C133" s="2">
        <v>0.88759999999999994</v>
      </c>
    </row>
    <row r="134" spans="1:3" x14ac:dyDescent="0.25">
      <c r="A134" s="1">
        <v>39814</v>
      </c>
      <c r="B134" s="2">
        <v>4.5735000000000001</v>
      </c>
      <c r="C134" s="2">
        <v>1.169</v>
      </c>
    </row>
    <row r="135" spans="1:3" x14ac:dyDescent="0.25">
      <c r="A135" s="1">
        <v>39845</v>
      </c>
      <c r="B135" s="2">
        <v>3.0423</v>
      </c>
      <c r="C135" s="2">
        <v>0.77759999999999996</v>
      </c>
    </row>
    <row r="136" spans="1:3" x14ac:dyDescent="0.25">
      <c r="A136" s="1">
        <v>39873</v>
      </c>
      <c r="B136" s="2">
        <v>3.3948999999999998</v>
      </c>
      <c r="C136" s="2">
        <v>0.86770000000000003</v>
      </c>
    </row>
    <row r="137" spans="1:3" x14ac:dyDescent="0.25">
      <c r="A137" s="1">
        <v>39904</v>
      </c>
      <c r="B137" s="2">
        <v>4.8697999999999997</v>
      </c>
      <c r="C137" s="2">
        <v>1.2446999999999999</v>
      </c>
    </row>
    <row r="138" spans="1:3" x14ac:dyDescent="0.25">
      <c r="A138" s="1">
        <v>39934</v>
      </c>
      <c r="B138" s="2">
        <v>4.0194000000000001</v>
      </c>
      <c r="C138" s="2">
        <v>1.0274000000000001</v>
      </c>
    </row>
    <row r="139" spans="1:3" x14ac:dyDescent="0.25">
      <c r="A139" s="1">
        <v>39965</v>
      </c>
      <c r="B139" s="2">
        <v>4.5469999999999997</v>
      </c>
      <c r="C139" s="2">
        <v>1.1621999999999999</v>
      </c>
    </row>
    <row r="140" spans="1:3" x14ac:dyDescent="0.25">
      <c r="A140" s="1">
        <v>39995</v>
      </c>
      <c r="B140" s="2">
        <v>4.0115999999999996</v>
      </c>
      <c r="C140" s="2">
        <v>1.0254000000000001</v>
      </c>
    </row>
    <row r="141" spans="1:3" x14ac:dyDescent="0.25">
      <c r="A141" s="1">
        <v>40026</v>
      </c>
      <c r="B141" s="2">
        <v>4.5976999999999997</v>
      </c>
      <c r="C141" s="2">
        <v>1.1752</v>
      </c>
    </row>
    <row r="142" spans="1:3" x14ac:dyDescent="0.25">
      <c r="A142" s="1">
        <v>40057</v>
      </c>
      <c r="B142" s="2">
        <v>4.0038</v>
      </c>
      <c r="C142" s="2">
        <v>1.0234000000000001</v>
      </c>
    </row>
    <row r="143" spans="1:3" x14ac:dyDescent="0.25">
      <c r="A143" s="1">
        <v>40087</v>
      </c>
      <c r="B143" s="2">
        <v>5.0092999999999996</v>
      </c>
      <c r="C143" s="2">
        <v>1.2804</v>
      </c>
    </row>
    <row r="144" spans="1:3" x14ac:dyDescent="0.25">
      <c r="A144" s="1">
        <v>40118</v>
      </c>
      <c r="B144" s="2">
        <v>3.5337999999999998</v>
      </c>
      <c r="C144" s="2">
        <v>0.9032</v>
      </c>
    </row>
    <row r="145" spans="1:3" x14ac:dyDescent="0.25">
      <c r="A145" s="1">
        <v>40148</v>
      </c>
      <c r="B145" s="2">
        <v>3.0415999999999999</v>
      </c>
      <c r="C145" s="2">
        <v>0.77739999999999998</v>
      </c>
    </row>
    <row r="146" spans="1:3" x14ac:dyDescent="0.25">
      <c r="A146" s="1">
        <v>40179</v>
      </c>
      <c r="B146" s="2">
        <v>3.3595999999999999</v>
      </c>
      <c r="C146" s="2">
        <v>0.85870000000000002</v>
      </c>
    </row>
    <row r="147" spans="1:3" x14ac:dyDescent="0.25">
      <c r="A147" s="1">
        <v>40210</v>
      </c>
      <c r="B147" s="2">
        <v>4.4703999999999997</v>
      </c>
      <c r="C147" s="2">
        <v>1.1426000000000001</v>
      </c>
    </row>
    <row r="148" spans="1:3" x14ac:dyDescent="0.25">
      <c r="A148" s="1">
        <v>40238</v>
      </c>
      <c r="B148" s="2">
        <v>5.4969999999999999</v>
      </c>
      <c r="C148" s="2">
        <v>1.405</v>
      </c>
    </row>
    <row r="149" spans="1:3" x14ac:dyDescent="0.25">
      <c r="A149" s="1">
        <v>40269</v>
      </c>
      <c r="B149" s="2">
        <v>5.5632999999999999</v>
      </c>
      <c r="C149" s="2">
        <v>1.4219999999999999</v>
      </c>
    </row>
    <row r="150" spans="1:3" x14ac:dyDescent="0.25">
      <c r="A150" s="1">
        <v>40299</v>
      </c>
      <c r="B150" s="2">
        <v>3.8153000000000001</v>
      </c>
      <c r="C150" s="2">
        <v>0.97519999999999996</v>
      </c>
    </row>
    <row r="151" spans="1:3" x14ac:dyDescent="0.25">
      <c r="A151" s="1">
        <v>40330</v>
      </c>
      <c r="B151" s="2">
        <v>3.7406000000000001</v>
      </c>
      <c r="C151" s="2">
        <v>0.95609999999999995</v>
      </c>
    </row>
    <row r="152" spans="1:3" x14ac:dyDescent="0.25">
      <c r="A152" s="1">
        <v>40360</v>
      </c>
      <c r="B152" s="2">
        <v>3.7879</v>
      </c>
      <c r="C152" s="2">
        <v>0.96819999999999995</v>
      </c>
    </row>
    <row r="153" spans="1:3" x14ac:dyDescent="0.25">
      <c r="A153" s="1">
        <v>40391</v>
      </c>
      <c r="B153" s="2">
        <v>4.6147</v>
      </c>
      <c r="C153" s="2">
        <v>1.1795</v>
      </c>
    </row>
    <row r="154" spans="1:3" x14ac:dyDescent="0.25">
      <c r="A154" s="1">
        <v>40422</v>
      </c>
      <c r="B154" s="2">
        <v>3.774</v>
      </c>
      <c r="C154" s="2">
        <v>0.96460000000000001</v>
      </c>
    </row>
    <row r="155" spans="1:3" x14ac:dyDescent="0.25">
      <c r="A155" s="1">
        <v>40452</v>
      </c>
      <c r="B155" s="2">
        <v>3.0491999999999999</v>
      </c>
      <c r="C155" s="2">
        <v>0.77939999999999998</v>
      </c>
    </row>
    <row r="156" spans="1:3" x14ac:dyDescent="0.25">
      <c r="A156" s="1">
        <v>40483</v>
      </c>
      <c r="B156" s="2">
        <v>2.6189</v>
      </c>
      <c r="C156" s="2">
        <v>0.6694</v>
      </c>
    </row>
    <row r="157" spans="1:3" x14ac:dyDescent="0.25">
      <c r="A157" s="1">
        <v>40513</v>
      </c>
      <c r="B157" s="2">
        <v>2.7614000000000001</v>
      </c>
      <c r="C157" s="2">
        <v>0.70579999999999998</v>
      </c>
    </row>
    <row r="158" spans="1:3" x14ac:dyDescent="0.25">
      <c r="A158" s="1">
        <v>40544</v>
      </c>
      <c r="B158" s="2">
        <v>3.5486</v>
      </c>
      <c r="C158" s="2">
        <v>0.90700000000000003</v>
      </c>
    </row>
    <row r="159" spans="1:3" x14ac:dyDescent="0.25">
      <c r="A159" s="1">
        <v>40575</v>
      </c>
      <c r="B159" s="2">
        <v>4.7518000000000002</v>
      </c>
      <c r="C159" s="2">
        <v>1.2145999999999999</v>
      </c>
    </row>
    <row r="160" spans="1:3" x14ac:dyDescent="0.25">
      <c r="A160" s="1">
        <v>40603</v>
      </c>
      <c r="B160" s="2">
        <v>7.6597999999999997</v>
      </c>
      <c r="C160" s="2">
        <v>1.9579</v>
      </c>
    </row>
    <row r="161" spans="1:3" x14ac:dyDescent="0.25">
      <c r="A161" s="1">
        <v>40634</v>
      </c>
      <c r="B161" s="2">
        <v>4.8987999999999996</v>
      </c>
      <c r="C161" s="2">
        <v>1.2521</v>
      </c>
    </row>
    <row r="162" spans="1:3" x14ac:dyDescent="0.25">
      <c r="A162" s="1">
        <v>40664</v>
      </c>
      <c r="B162" s="2">
        <v>2.5676000000000001</v>
      </c>
      <c r="C162" s="2">
        <v>0.65629999999999999</v>
      </c>
    </row>
    <row r="163" spans="1:3" x14ac:dyDescent="0.25">
      <c r="A163" s="1">
        <v>40695</v>
      </c>
      <c r="B163" s="2">
        <v>3.1004</v>
      </c>
      <c r="C163" s="2">
        <v>0.79249999999999998</v>
      </c>
    </row>
    <row r="164" spans="1:3" x14ac:dyDescent="0.25">
      <c r="A164" s="1">
        <v>40725</v>
      </c>
      <c r="B164" s="2">
        <v>4.4515000000000002</v>
      </c>
      <c r="C164" s="2">
        <v>1.1377999999999999</v>
      </c>
    </row>
    <row r="165" spans="1:3" x14ac:dyDescent="0.25">
      <c r="A165" s="1">
        <v>40756</v>
      </c>
      <c r="B165" s="2">
        <v>5.8101000000000003</v>
      </c>
      <c r="C165" s="2">
        <v>1.4851000000000001</v>
      </c>
    </row>
    <row r="166" spans="1:3" x14ac:dyDescent="0.25">
      <c r="A166" s="1">
        <v>40787</v>
      </c>
      <c r="B166" s="2">
        <v>6.4790000000000001</v>
      </c>
      <c r="C166" s="2">
        <v>1.6559999999999999</v>
      </c>
    </row>
    <row r="167" spans="1:3" x14ac:dyDescent="0.25">
      <c r="A167" s="1">
        <v>40817</v>
      </c>
      <c r="B167" s="2">
        <v>3.5131999999999999</v>
      </c>
      <c r="C167" s="2">
        <v>0.89800000000000002</v>
      </c>
    </row>
    <row r="168" spans="1:3" x14ac:dyDescent="0.25">
      <c r="A168" s="1">
        <v>40848</v>
      </c>
      <c r="B168" s="2">
        <v>3.3557999999999999</v>
      </c>
      <c r="C168" s="2">
        <v>0.85770000000000002</v>
      </c>
    </row>
    <row r="169" spans="1:3" x14ac:dyDescent="0.25">
      <c r="A169" s="1">
        <v>40878</v>
      </c>
      <c r="B169" s="2">
        <v>2.9129999999999998</v>
      </c>
      <c r="C169" s="2">
        <v>0.74460000000000004</v>
      </c>
    </row>
    <row r="170" spans="1:3" x14ac:dyDescent="0.25">
      <c r="A170" s="1">
        <v>40909</v>
      </c>
      <c r="B170" s="2">
        <v>3.1981999999999999</v>
      </c>
      <c r="C170" s="2">
        <v>0.8175</v>
      </c>
    </row>
    <row r="171" spans="1:3" x14ac:dyDescent="0.25">
      <c r="A171" s="1">
        <v>40940</v>
      </c>
      <c r="B171" s="2">
        <v>2.57</v>
      </c>
      <c r="C171" s="2">
        <v>0.65690000000000004</v>
      </c>
    </row>
    <row r="172" spans="1:3" x14ac:dyDescent="0.25">
      <c r="A172" s="1">
        <v>40969</v>
      </c>
      <c r="B172" s="2">
        <v>3.4706000000000001</v>
      </c>
      <c r="C172" s="2">
        <v>0.8871</v>
      </c>
    </row>
    <row r="173" spans="1:3" x14ac:dyDescent="0.25">
      <c r="A173" s="1">
        <v>41000</v>
      </c>
      <c r="B173" s="2">
        <v>2.8997000000000002</v>
      </c>
      <c r="C173" s="2">
        <v>0.74119999999999997</v>
      </c>
    </row>
    <row r="174" spans="1:3" x14ac:dyDescent="0.25">
      <c r="A174" s="1">
        <v>41030</v>
      </c>
      <c r="B174" s="2">
        <v>6.2682000000000002</v>
      </c>
      <c r="C174" s="2">
        <v>1.6022000000000001</v>
      </c>
    </row>
    <row r="175" spans="1:3" x14ac:dyDescent="0.25">
      <c r="A175" s="1">
        <v>41061</v>
      </c>
      <c r="B175" s="2">
        <v>4.7504999999999997</v>
      </c>
      <c r="C175" s="2">
        <v>1.2141999999999999</v>
      </c>
    </row>
    <row r="176" spans="1:3" x14ac:dyDescent="0.25">
      <c r="A176" s="1">
        <v>41091</v>
      </c>
      <c r="B176" s="2">
        <v>5.2709000000000001</v>
      </c>
      <c r="C176" s="2">
        <v>1.3472999999999999</v>
      </c>
    </row>
    <row r="177" spans="1:3" x14ac:dyDescent="0.25">
      <c r="A177" s="1">
        <v>41122</v>
      </c>
      <c r="B177" s="2">
        <v>5.2362000000000002</v>
      </c>
      <c r="C177" s="2">
        <v>1.3384</v>
      </c>
    </row>
    <row r="178" spans="1:3" x14ac:dyDescent="0.25">
      <c r="A178" s="1">
        <v>41153</v>
      </c>
      <c r="B178" s="2">
        <v>4.9035000000000002</v>
      </c>
      <c r="C178" s="2">
        <v>1.2533000000000001</v>
      </c>
    </row>
    <row r="179" spans="1:3" x14ac:dyDescent="0.25">
      <c r="A179" s="1">
        <v>41183</v>
      </c>
      <c r="B179" s="2">
        <v>6.5223000000000004</v>
      </c>
      <c r="C179" s="2">
        <v>1.6671</v>
      </c>
    </row>
    <row r="180" spans="1:3" x14ac:dyDescent="0.25">
      <c r="A180" s="1">
        <v>41214</v>
      </c>
      <c r="B180" s="2">
        <v>3.5941000000000001</v>
      </c>
      <c r="C180" s="2">
        <v>0.91869999999999996</v>
      </c>
    </row>
    <row r="181" spans="1:3" x14ac:dyDescent="0.25">
      <c r="A181" s="1">
        <v>41244</v>
      </c>
      <c r="B181" s="2">
        <v>4.2144000000000004</v>
      </c>
      <c r="C181" s="2">
        <v>1.0771999999999999</v>
      </c>
    </row>
    <row r="182" spans="1:3" x14ac:dyDescent="0.25">
      <c r="A182" s="1">
        <v>41275</v>
      </c>
      <c r="B182" s="2">
        <v>6.0065999999999997</v>
      </c>
      <c r="C182" s="2">
        <v>1.5353000000000001</v>
      </c>
    </row>
    <row r="183" spans="1:3" x14ac:dyDescent="0.25">
      <c r="A183" s="1">
        <v>41306</v>
      </c>
      <c r="B183" s="2">
        <v>4.0262000000000002</v>
      </c>
      <c r="C183" s="2">
        <v>1.0290999999999999</v>
      </c>
    </row>
    <row r="184" spans="1:3" x14ac:dyDescent="0.25">
      <c r="A184" s="1">
        <v>41334</v>
      </c>
      <c r="B184" s="2">
        <v>5.2850999999999999</v>
      </c>
      <c r="C184" s="2">
        <v>1.3509</v>
      </c>
    </row>
    <row r="185" spans="1:3" x14ac:dyDescent="0.25">
      <c r="A185" s="1">
        <v>41365</v>
      </c>
      <c r="B185" s="2">
        <v>3.1827000000000001</v>
      </c>
      <c r="C185" s="2">
        <v>0.8135</v>
      </c>
    </row>
    <row r="186" spans="1:3" x14ac:dyDescent="0.25">
      <c r="A186" s="1">
        <v>41395</v>
      </c>
      <c r="B186" s="2">
        <v>3.1917</v>
      </c>
      <c r="C186" s="2">
        <v>0.81579999999999997</v>
      </c>
    </row>
    <row r="187" spans="1:3" x14ac:dyDescent="0.25">
      <c r="A187" s="1">
        <v>41426</v>
      </c>
      <c r="B187" s="2">
        <v>5.1509999999999998</v>
      </c>
      <c r="C187" s="2">
        <v>1.3166</v>
      </c>
    </row>
    <row r="188" spans="1:3" x14ac:dyDescent="0.25">
      <c r="A188" s="1">
        <v>41456</v>
      </c>
      <c r="B188" s="2">
        <v>6.6582999999999997</v>
      </c>
      <c r="C188" s="2">
        <v>1.7019</v>
      </c>
    </row>
    <row r="189" spans="1:3" x14ac:dyDescent="0.25">
      <c r="A189" s="1">
        <v>41487</v>
      </c>
      <c r="B189" s="2">
        <v>4.1901000000000002</v>
      </c>
      <c r="C189" s="2">
        <v>1.071</v>
      </c>
    </row>
    <row r="190" spans="1:3" x14ac:dyDescent="0.25">
      <c r="A190" s="1">
        <v>41518</v>
      </c>
      <c r="B190" s="2">
        <v>3.6659999999999999</v>
      </c>
      <c r="C190" s="2">
        <v>0.93700000000000006</v>
      </c>
    </row>
    <row r="191" spans="1:3" x14ac:dyDescent="0.25">
      <c r="A191" s="1">
        <v>41548</v>
      </c>
      <c r="B191" s="2">
        <v>4.1307999999999998</v>
      </c>
      <c r="C191" s="2">
        <v>1.0558000000000001</v>
      </c>
    </row>
    <row r="192" spans="1:3" x14ac:dyDescent="0.25">
      <c r="A192" s="1">
        <v>41579</v>
      </c>
      <c r="B192" s="2">
        <v>5.5778999999999996</v>
      </c>
      <c r="C192" s="2">
        <v>1.4257</v>
      </c>
    </row>
    <row r="193" spans="1:3" x14ac:dyDescent="0.25">
      <c r="A193" s="1">
        <v>41609</v>
      </c>
      <c r="B193" s="2">
        <v>4.4051999999999998</v>
      </c>
      <c r="C193" s="2">
        <v>1.1259999999999999</v>
      </c>
    </row>
    <row r="194" spans="1:3" x14ac:dyDescent="0.25">
      <c r="A194" s="1">
        <v>41640</v>
      </c>
      <c r="B194" s="2">
        <v>3.5819999999999999</v>
      </c>
      <c r="C194" s="2">
        <v>0.91559999999999997</v>
      </c>
    </row>
    <row r="195" spans="1:3" x14ac:dyDescent="0.25">
      <c r="A195" s="1">
        <v>41671</v>
      </c>
      <c r="B195" s="2">
        <v>4.1464999999999996</v>
      </c>
      <c r="C195" s="2">
        <v>1.0598000000000001</v>
      </c>
    </row>
    <row r="196" spans="1:3" x14ac:dyDescent="0.25">
      <c r="A196" s="1">
        <v>41699</v>
      </c>
      <c r="B196" s="2">
        <v>3.7486000000000002</v>
      </c>
      <c r="C196" s="2">
        <v>0.95809999999999995</v>
      </c>
    </row>
    <row r="197" spans="1:3" x14ac:dyDescent="0.25">
      <c r="A197" s="1">
        <v>41730</v>
      </c>
      <c r="B197" s="2" t="s">
        <v>3</v>
      </c>
      <c r="C197" s="2" t="s">
        <v>3</v>
      </c>
    </row>
    <row r="198" spans="1:3" x14ac:dyDescent="0.25">
      <c r="A198" s="1">
        <v>41760</v>
      </c>
      <c r="B198" s="2">
        <v>4.4625000000000004</v>
      </c>
      <c r="C198" s="2">
        <v>1.1406000000000001</v>
      </c>
    </row>
    <row r="199" spans="1:3" x14ac:dyDescent="0.25">
      <c r="A199" s="1">
        <v>41791</v>
      </c>
      <c r="B199" s="2">
        <v>3.9805000000000001</v>
      </c>
      <c r="C199" s="2">
        <v>1.0174000000000001</v>
      </c>
    </row>
    <row r="200" spans="1:3" x14ac:dyDescent="0.25">
      <c r="A200" s="1">
        <v>41821</v>
      </c>
      <c r="B200" s="2">
        <v>5.6852999999999998</v>
      </c>
      <c r="C200" s="2">
        <v>1.4532</v>
      </c>
    </row>
    <row r="201" spans="1:3" x14ac:dyDescent="0.25">
      <c r="A201" s="1">
        <v>41852</v>
      </c>
      <c r="B201" s="2">
        <v>5.7087000000000003</v>
      </c>
      <c r="C201" s="2">
        <v>1.4591000000000001</v>
      </c>
    </row>
    <row r="202" spans="1:3" x14ac:dyDescent="0.25">
      <c r="A202" s="1">
        <v>41883</v>
      </c>
      <c r="B202" s="2">
        <v>5.4733000000000001</v>
      </c>
      <c r="C202" s="2">
        <v>1.399</v>
      </c>
    </row>
    <row r="203" spans="1:3" x14ac:dyDescent="0.25">
      <c r="A203" s="1">
        <v>41913</v>
      </c>
      <c r="B203" s="2">
        <v>9.2844999999999995</v>
      </c>
      <c r="C203" s="2">
        <v>2.3731</v>
      </c>
    </row>
    <row r="204" spans="1:3" x14ac:dyDescent="0.25">
      <c r="A204" s="1">
        <v>41944</v>
      </c>
      <c r="B204" s="2">
        <v>7.6250999999999998</v>
      </c>
      <c r="C204" s="2">
        <v>1.9490000000000001</v>
      </c>
    </row>
    <row r="205" spans="1:3" x14ac:dyDescent="0.25">
      <c r="A205" s="1">
        <v>41974</v>
      </c>
      <c r="B205" s="2">
        <v>8.2665000000000006</v>
      </c>
      <c r="C205" s="2">
        <v>2.1128999999999998</v>
      </c>
    </row>
    <row r="206" spans="1:3" x14ac:dyDescent="0.25">
      <c r="A206" s="1">
        <v>42005</v>
      </c>
      <c r="B206" s="2">
        <v>5.4101999999999997</v>
      </c>
      <c r="C206" s="2">
        <v>1.3828</v>
      </c>
    </row>
    <row r="207" spans="1:3" x14ac:dyDescent="0.25">
      <c r="A207" s="1">
        <v>42036</v>
      </c>
      <c r="B207" s="2">
        <v>4.6787999999999998</v>
      </c>
      <c r="C207" s="2">
        <v>1.1959</v>
      </c>
    </row>
    <row r="208" spans="1:3" x14ac:dyDescent="0.25">
      <c r="A208" s="1">
        <v>42064</v>
      </c>
      <c r="B208" s="2">
        <v>3.9460999999999999</v>
      </c>
      <c r="C208" s="2">
        <v>1.0085999999999999</v>
      </c>
    </row>
    <row r="209" spans="1:5" x14ac:dyDescent="0.25">
      <c r="A209" s="1">
        <v>42095</v>
      </c>
      <c r="B209" s="2">
        <v>2.7709999999999999</v>
      </c>
      <c r="C209" s="2">
        <v>0.70830000000000004</v>
      </c>
    </row>
    <row r="210" spans="1:5" x14ac:dyDescent="0.25">
      <c r="A210" s="1">
        <v>42125</v>
      </c>
      <c r="B210" s="2">
        <v>8.9038000000000004</v>
      </c>
      <c r="C210" s="2">
        <v>2.2757999999999998</v>
      </c>
    </row>
    <row r="211" spans="1:5" x14ac:dyDescent="0.25">
      <c r="A211" s="1">
        <v>42156</v>
      </c>
      <c r="B211" s="2">
        <v>8.7245000000000008</v>
      </c>
      <c r="C211" s="2">
        <v>2.23</v>
      </c>
    </row>
    <row r="212" spans="1:5" x14ac:dyDescent="0.25">
      <c r="A212" s="1">
        <v>42186</v>
      </c>
      <c r="B212" s="2">
        <v>10.6602</v>
      </c>
      <c r="C212" s="2">
        <v>2.7246999999999999</v>
      </c>
    </row>
    <row r="213" spans="1:5" x14ac:dyDescent="0.25">
      <c r="A213" s="1">
        <v>42217</v>
      </c>
      <c r="B213" s="2">
        <v>10.8652</v>
      </c>
      <c r="C213" s="2">
        <v>2.7772000000000001</v>
      </c>
    </row>
    <row r="214" spans="1:5" x14ac:dyDescent="0.25">
      <c r="A214" s="1">
        <v>42248</v>
      </c>
      <c r="B214" s="2">
        <v>12.396599999999999</v>
      </c>
      <c r="C214" s="2">
        <v>3.1686000000000001</v>
      </c>
    </row>
    <row r="215" spans="1:5" x14ac:dyDescent="0.25">
      <c r="A215" s="1">
        <v>42278</v>
      </c>
      <c r="B215" s="2">
        <v>16.008400000000002</v>
      </c>
      <c r="C215" s="2">
        <v>4.0917000000000003</v>
      </c>
    </row>
    <row r="216" spans="1:5" x14ac:dyDescent="0.25">
      <c r="A216" s="1">
        <v>42309</v>
      </c>
      <c r="B216" s="2">
        <v>13.8751</v>
      </c>
      <c r="C216" s="2">
        <v>3.5465</v>
      </c>
    </row>
    <row r="217" spans="1:5" x14ac:dyDescent="0.25">
      <c r="A217" s="1">
        <v>42339</v>
      </c>
      <c r="B217" s="2">
        <v>34.435699999999997</v>
      </c>
      <c r="C217" s="2">
        <v>8.8018000000000001</v>
      </c>
    </row>
    <row r="218" spans="1:5" x14ac:dyDescent="0.25">
      <c r="A218" s="1">
        <v>42370</v>
      </c>
      <c r="B218" s="2">
        <v>18.163699999999999</v>
      </c>
      <c r="C218" s="2">
        <v>4.6426999999999996</v>
      </c>
    </row>
    <row r="219" spans="1:5" x14ac:dyDescent="0.25">
      <c r="A219" s="1">
        <v>42401</v>
      </c>
      <c r="B219" s="2" t="s">
        <v>3</v>
      </c>
      <c r="C219" s="2" t="s">
        <v>3</v>
      </c>
    </row>
    <row r="220" spans="1:5" x14ac:dyDescent="0.25">
      <c r="A220" s="1">
        <v>42430</v>
      </c>
      <c r="B220" s="2">
        <v>38.199100000000001</v>
      </c>
      <c r="C220" s="2">
        <v>9.7637</v>
      </c>
    </row>
    <row r="221" spans="1:5" ht="16.5" thickBot="1" x14ac:dyDescent="0.3">
      <c r="A221" s="1">
        <v>42461</v>
      </c>
      <c r="B221" s="2">
        <v>17.902799999999999</v>
      </c>
      <c r="C221" s="2">
        <v>4.5759999999999996</v>
      </c>
    </row>
    <row r="222" spans="1:5" x14ac:dyDescent="0.25">
      <c r="A222" s="1">
        <v>42491</v>
      </c>
      <c r="B222" s="2">
        <v>16.785599999999999</v>
      </c>
      <c r="C222" s="2">
        <v>4.2904</v>
      </c>
      <c r="D222" s="9">
        <v>42505</v>
      </c>
      <c r="E222" s="10">
        <v>12.217573333333332</v>
      </c>
    </row>
    <row r="223" spans="1:5" x14ac:dyDescent="0.25">
      <c r="A223" s="1">
        <v>42522</v>
      </c>
      <c r="B223" s="2" t="s">
        <v>3</v>
      </c>
      <c r="C223" s="17">
        <f>+AVERAGE(C222,C225)</f>
        <v>3.9411</v>
      </c>
      <c r="D223" s="9">
        <v>42541</v>
      </c>
      <c r="E223" s="11">
        <v>10.835539555555556</v>
      </c>
    </row>
    <row r="224" spans="1:5" x14ac:dyDescent="0.25">
      <c r="A224" s="1">
        <v>42552</v>
      </c>
      <c r="B224" s="2" t="s">
        <v>3</v>
      </c>
    </row>
    <row r="225" spans="1:9" x14ac:dyDescent="0.25">
      <c r="A225" s="1">
        <v>42583</v>
      </c>
      <c r="B225" s="2">
        <v>14.052300000000001</v>
      </c>
      <c r="C225" s="2">
        <v>3.5918000000000001</v>
      </c>
      <c r="D225" s="9">
        <v>42585</v>
      </c>
      <c r="E225" s="11">
        <v>5.3787720000000006</v>
      </c>
    </row>
    <row r="226" spans="1:9" x14ac:dyDescent="0.25">
      <c r="A226" s="1">
        <v>42614</v>
      </c>
      <c r="B226" s="2">
        <v>14.6441</v>
      </c>
      <c r="C226" s="2">
        <v>3.7429999999999999</v>
      </c>
      <c r="D226" s="9">
        <v>42632</v>
      </c>
      <c r="E226" s="11">
        <v>5.5371814589371979</v>
      </c>
    </row>
    <row r="227" spans="1:9" x14ac:dyDescent="0.25">
      <c r="A227" s="1">
        <v>42644</v>
      </c>
      <c r="B227" s="2">
        <v>63.183100000000003</v>
      </c>
      <c r="C227" s="2">
        <v>16.1496</v>
      </c>
      <c r="D227" s="15">
        <v>42644</v>
      </c>
      <c r="E227" s="16">
        <f>+E228</f>
        <v>12.332810067632849</v>
      </c>
    </row>
    <row r="228" spans="1:9" x14ac:dyDescent="0.25">
      <c r="A228" s="1">
        <v>42675</v>
      </c>
      <c r="B228" s="2">
        <v>23.518000000000001</v>
      </c>
      <c r="C228" s="2">
        <v>6.0111999999999997</v>
      </c>
      <c r="D228" s="9">
        <v>42677</v>
      </c>
      <c r="E228" s="11">
        <v>12.332810067632849</v>
      </c>
    </row>
    <row r="229" spans="1:9" x14ac:dyDescent="0.25">
      <c r="A229" s="1">
        <v>42705</v>
      </c>
      <c r="B229" s="2">
        <v>20.3431</v>
      </c>
      <c r="C229" s="2">
        <v>5.1997</v>
      </c>
    </row>
    <row r="230" spans="1:9" x14ac:dyDescent="0.25">
      <c r="A230" s="1">
        <v>42736</v>
      </c>
      <c r="B230" s="2">
        <v>16.340299999999999</v>
      </c>
      <c r="C230" s="2">
        <v>4.1765999999999996</v>
      </c>
      <c r="D230" s="9">
        <v>42760</v>
      </c>
      <c r="E230" s="11">
        <v>10.629362570048308</v>
      </c>
    </row>
    <row r="231" spans="1:9" x14ac:dyDescent="0.25">
      <c r="A231" s="1">
        <v>42767</v>
      </c>
      <c r="B231" s="2">
        <v>25.839600000000001</v>
      </c>
      <c r="C231" s="2">
        <v>6.6045999999999996</v>
      </c>
    </row>
    <row r="232" spans="1:9" x14ac:dyDescent="0.25">
      <c r="A232" s="1">
        <v>42795</v>
      </c>
      <c r="B232" s="2">
        <v>15.276999999999999</v>
      </c>
      <c r="C232" s="2">
        <v>3.9047999999999998</v>
      </c>
      <c r="D232" s="9">
        <v>42801</v>
      </c>
      <c r="E232" s="11">
        <v>1.8583273333333332</v>
      </c>
    </row>
    <row r="233" spans="1:9" x14ac:dyDescent="0.25">
      <c r="A233" s="1">
        <v>42826</v>
      </c>
      <c r="B233" s="2">
        <v>10.3559</v>
      </c>
      <c r="C233" s="2">
        <v>2.6469999999999998</v>
      </c>
    </row>
    <row r="234" spans="1:9" x14ac:dyDescent="0.25">
      <c r="A234" s="1">
        <v>42856</v>
      </c>
      <c r="B234" s="2">
        <v>6.3791000000000002</v>
      </c>
      <c r="C234" s="2">
        <v>1.6305000000000001</v>
      </c>
      <c r="D234" s="9">
        <v>42859</v>
      </c>
      <c r="E234" s="11">
        <v>2.0309333333333294E-2</v>
      </c>
    </row>
    <row r="235" spans="1:9" x14ac:dyDescent="0.25">
      <c r="A235" s="1">
        <v>42887</v>
      </c>
      <c r="B235" s="2">
        <v>4.8464</v>
      </c>
      <c r="C235" s="2">
        <v>1.2386999999999999</v>
      </c>
      <c r="D235" s="9">
        <v>42908</v>
      </c>
      <c r="E235" s="11">
        <v>1.5465459722222221</v>
      </c>
    </row>
    <row r="236" spans="1:9" x14ac:dyDescent="0.25">
      <c r="A236" s="1">
        <v>42917</v>
      </c>
      <c r="B236" s="2">
        <v>3.62</v>
      </c>
      <c r="C236" s="2">
        <v>0.92530000000000001</v>
      </c>
      <c r="D236" s="9">
        <v>42947</v>
      </c>
      <c r="E236" s="11">
        <v>4.9940333333333309E-2</v>
      </c>
    </row>
    <row r="237" spans="1:9" x14ac:dyDescent="0.25">
      <c r="A237" s="1">
        <v>42948</v>
      </c>
      <c r="B237" s="2">
        <v>86.930099999999996</v>
      </c>
      <c r="C237" s="2">
        <v>22.2193</v>
      </c>
      <c r="D237" s="9">
        <v>42955</v>
      </c>
      <c r="E237" s="11">
        <v>7.2736008333333322</v>
      </c>
      <c r="F237" s="9">
        <v>42986</v>
      </c>
      <c r="G237" s="11">
        <v>7.2736008333333322</v>
      </c>
      <c r="H237" s="9"/>
      <c r="I237" s="11"/>
    </row>
    <row r="238" spans="1:9" x14ac:dyDescent="0.25">
      <c r="A238" s="1">
        <v>42979</v>
      </c>
      <c r="B238" s="2">
        <v>35.450699999999998</v>
      </c>
      <c r="C238" s="2">
        <v>9.0611999999999995</v>
      </c>
    </row>
    <row r="239" spans="1:9" x14ac:dyDescent="0.25">
      <c r="A239" s="1">
        <v>43009</v>
      </c>
      <c r="B239" s="2">
        <v>24.2882</v>
      </c>
      <c r="C239" s="2">
        <v>6.2081</v>
      </c>
      <c r="D239" s="9">
        <v>43018</v>
      </c>
      <c r="E239" s="11">
        <v>5.2223935555555556</v>
      </c>
    </row>
    <row r="240" spans="1:9" x14ac:dyDescent="0.25">
      <c r="A240" s="1">
        <v>43040</v>
      </c>
      <c r="B240" s="2">
        <v>20.488099999999999</v>
      </c>
      <c r="C240" s="2">
        <v>5.2367999999999997</v>
      </c>
      <c r="D240" s="9">
        <v>43047</v>
      </c>
      <c r="E240" s="11">
        <v>4.8261562222222221</v>
      </c>
    </row>
    <row r="241" spans="1:5" x14ac:dyDescent="0.25">
      <c r="A241" s="1">
        <v>43070</v>
      </c>
      <c r="B241" s="2">
        <v>18.964200000000002</v>
      </c>
      <c r="C241" s="2">
        <v>4.8472</v>
      </c>
    </row>
    <row r="242" spans="1:5" x14ac:dyDescent="0.25">
      <c r="A242" s="1">
        <v>43101</v>
      </c>
      <c r="B242" s="2">
        <v>20.290400000000002</v>
      </c>
      <c r="C242" s="2">
        <v>5.1862000000000004</v>
      </c>
      <c r="D242" s="9">
        <v>43109</v>
      </c>
      <c r="E242" s="11">
        <v>4.9714083333333328</v>
      </c>
    </row>
    <row r="243" spans="1:5" x14ac:dyDescent="0.25">
      <c r="A243" s="1">
        <v>43132</v>
      </c>
      <c r="B243" s="2">
        <v>25.376999999999999</v>
      </c>
      <c r="C243" s="2">
        <v>6.4863999999999997</v>
      </c>
      <c r="D243" s="9">
        <v>43145</v>
      </c>
      <c r="E243" s="11">
        <v>6.1622046783625732</v>
      </c>
    </row>
    <row r="244" spans="1:5" x14ac:dyDescent="0.25">
      <c r="A244" s="1">
        <v>43160</v>
      </c>
      <c r="B244" s="2">
        <v>8.7319999999999993</v>
      </c>
      <c r="C244" s="2">
        <v>2.2319</v>
      </c>
      <c r="D244" s="9">
        <v>43186</v>
      </c>
      <c r="E244" s="11">
        <v>3.4454086405508071</v>
      </c>
    </row>
    <row r="245" spans="1:5" x14ac:dyDescent="0.25">
      <c r="A245" s="1">
        <v>43191</v>
      </c>
      <c r="B245" s="2">
        <v>6.9701000000000004</v>
      </c>
      <c r="C245" s="2">
        <v>1.7816000000000001</v>
      </c>
    </row>
    <row r="246" spans="1:5" x14ac:dyDescent="0.25">
      <c r="A246" s="1">
        <v>43221</v>
      </c>
      <c r="B246" s="2">
        <v>4.1632999999999996</v>
      </c>
      <c r="C246" s="2">
        <v>1.0641</v>
      </c>
      <c r="D246" s="9">
        <v>43228</v>
      </c>
      <c r="E246" s="11">
        <v>1.2302935555555556</v>
      </c>
    </row>
    <row r="247" spans="1:5" x14ac:dyDescent="0.25">
      <c r="A247" s="1">
        <v>43252</v>
      </c>
      <c r="B247" s="2">
        <v>2.1562999999999999</v>
      </c>
      <c r="C247" s="2">
        <v>0.55110000000000003</v>
      </c>
      <c r="D247" s="9">
        <v>43263</v>
      </c>
      <c r="E247" s="11">
        <v>0.60648871111111102</v>
      </c>
    </row>
    <row r="248" spans="1:5" x14ac:dyDescent="0.25">
      <c r="A248" s="1">
        <v>43282</v>
      </c>
      <c r="B248" s="2">
        <v>3.4104999999999999</v>
      </c>
      <c r="C248" s="2">
        <v>0.87170000000000003</v>
      </c>
      <c r="D248" s="9"/>
      <c r="E248" s="11"/>
    </row>
    <row r="249" spans="1:5" x14ac:dyDescent="0.25">
      <c r="A249" s="1">
        <v>43313</v>
      </c>
      <c r="B249" s="2">
        <v>4.6287000000000003</v>
      </c>
      <c r="C249" s="2">
        <v>1.1831</v>
      </c>
      <c r="D249" s="9">
        <v>43342</v>
      </c>
      <c r="E249" s="11">
        <v>1.7405852592592594</v>
      </c>
    </row>
    <row r="250" spans="1:5" x14ac:dyDescent="0.25">
      <c r="A250" s="1">
        <v>43344</v>
      </c>
      <c r="B250" s="2">
        <v>4.2838000000000003</v>
      </c>
      <c r="C250" s="2">
        <v>1.0949</v>
      </c>
      <c r="D250" s="18">
        <v>43373</v>
      </c>
      <c r="E250" s="19">
        <v>1.7405852592592594</v>
      </c>
    </row>
    <row r="251" spans="1:5" x14ac:dyDescent="0.25">
      <c r="A251" s="1">
        <v>43374</v>
      </c>
      <c r="B251" s="2">
        <v>5.9801000000000002</v>
      </c>
      <c r="C251" s="2">
        <v>1.5285</v>
      </c>
      <c r="D251" s="9">
        <v>43377</v>
      </c>
      <c r="E251" s="11">
        <v>1.220261</v>
      </c>
    </row>
    <row r="252" spans="1:5" x14ac:dyDescent="0.25">
      <c r="A252" s="1">
        <v>43405</v>
      </c>
      <c r="B252" s="2">
        <v>8.9273000000000007</v>
      </c>
      <c r="C252" s="2">
        <v>2.2818000000000001</v>
      </c>
      <c r="D252" s="9">
        <v>43416</v>
      </c>
      <c r="E252" s="11">
        <v>1.3521332222222222</v>
      </c>
    </row>
    <row r="253" spans="1:5" x14ac:dyDescent="0.25">
      <c r="A253" s="1">
        <v>43435</v>
      </c>
      <c r="B253" s="2">
        <v>4.3620999999999999</v>
      </c>
      <c r="C253" s="2">
        <v>1.115</v>
      </c>
      <c r="D253" s="9">
        <v>43452</v>
      </c>
      <c r="E253" s="11">
        <v>0.97944896296296291</v>
      </c>
    </row>
    <row r="254" spans="1:5" x14ac:dyDescent="0.25">
      <c r="D254" s="9"/>
      <c r="E254" s="11"/>
    </row>
    <row r="255" spans="1:5" x14ac:dyDescent="0.25">
      <c r="D255" s="9"/>
      <c r="E255" s="11"/>
    </row>
    <row r="256" spans="1:5" x14ac:dyDescent="0.25">
      <c r="D256" s="9"/>
      <c r="E256" s="11"/>
    </row>
    <row r="257" spans="4:5" x14ac:dyDescent="0.25">
      <c r="D257" s="9"/>
      <c r="E257" s="11"/>
    </row>
    <row r="258" spans="4:5" x14ac:dyDescent="0.25">
      <c r="D258" s="9"/>
      <c r="E258" s="11"/>
    </row>
    <row r="259" spans="4:5" x14ac:dyDescent="0.25">
      <c r="D259" s="9"/>
      <c r="E259" s="11"/>
    </row>
    <row r="260" spans="4:5" x14ac:dyDescent="0.25">
      <c r="D260" s="9"/>
      <c r="E260" s="11"/>
    </row>
    <row r="261" spans="4:5" ht="16.5" thickBot="1" x14ac:dyDescent="0.3">
      <c r="D261" s="9"/>
      <c r="E261" s="11"/>
    </row>
    <row r="262" spans="4:5" x14ac:dyDescent="0.25">
      <c r="D262" s="12"/>
      <c r="E262" s="11"/>
    </row>
    <row r="263" spans="4:5" x14ac:dyDescent="0.25">
      <c r="D263" s="13"/>
      <c r="E263" s="11"/>
    </row>
    <row r="264" spans="4:5" x14ac:dyDescent="0.25">
      <c r="D264" s="13"/>
      <c r="E264" s="11"/>
    </row>
    <row r="265" spans="4:5" x14ac:dyDescent="0.25">
      <c r="D265" s="13"/>
      <c r="E265" s="11"/>
    </row>
    <row r="266" spans="4:5" ht="16.5" thickBot="1" x14ac:dyDescent="0.3">
      <c r="D266" s="14"/>
      <c r="E266" s="11"/>
    </row>
    <row r="267" spans="4:5" x14ac:dyDescent="0.25">
      <c r="D267" s="9"/>
      <c r="E267" s="11"/>
    </row>
    <row r="268" spans="4:5" x14ac:dyDescent="0.25">
      <c r="D268" s="9"/>
      <c r="E268" s="11"/>
    </row>
    <row r="269" spans="4:5" x14ac:dyDescent="0.25">
      <c r="D269" s="9"/>
      <c r="E269" s="11"/>
    </row>
    <row r="270" spans="4:5" x14ac:dyDescent="0.25">
      <c r="D270" s="9"/>
      <c r="E270" s="11"/>
    </row>
    <row r="271" spans="4:5" x14ac:dyDescent="0.25">
      <c r="D271" s="9"/>
      <c r="E271" s="11"/>
    </row>
    <row r="272" spans="4:5" x14ac:dyDescent="0.25">
      <c r="D272" s="9"/>
      <c r="E272" s="11"/>
    </row>
    <row r="273" spans="4:5" x14ac:dyDescent="0.25">
      <c r="D273" s="9"/>
      <c r="E273" s="11"/>
    </row>
    <row r="274" spans="4:5" x14ac:dyDescent="0.25">
      <c r="D274" s="9"/>
      <c r="E274" s="11"/>
    </row>
    <row r="275" spans="4:5" x14ac:dyDescent="0.25">
      <c r="D275" s="9"/>
      <c r="E275" s="11"/>
    </row>
    <row r="276" spans="4:5" x14ac:dyDescent="0.25">
      <c r="D276" s="9"/>
      <c r="E276" s="11"/>
    </row>
    <row r="277" spans="4:5" x14ac:dyDescent="0.25">
      <c r="D277" s="9"/>
      <c r="E277" s="11"/>
    </row>
    <row r="278" spans="4:5" x14ac:dyDescent="0.25">
      <c r="D278" s="9"/>
      <c r="E278" s="11"/>
    </row>
    <row r="279" spans="4:5" x14ac:dyDescent="0.25">
      <c r="D279" s="9"/>
      <c r="E279" s="11"/>
    </row>
    <row r="280" spans="4:5" x14ac:dyDescent="0.25">
      <c r="D280" s="9"/>
      <c r="E280" s="11"/>
    </row>
    <row r="281" spans="4:5" x14ac:dyDescent="0.25">
      <c r="D281" s="9"/>
      <c r="E281" s="11"/>
    </row>
    <row r="282" spans="4:5" x14ac:dyDescent="0.25">
      <c r="D282" s="9"/>
      <c r="E282" s="11"/>
    </row>
    <row r="283" spans="4:5" x14ac:dyDescent="0.25">
      <c r="D283" s="9"/>
      <c r="E283" s="11"/>
    </row>
    <row r="284" spans="4:5" x14ac:dyDescent="0.25">
      <c r="D284" s="9"/>
      <c r="E284" s="11"/>
    </row>
    <row r="285" spans="4:5" x14ac:dyDescent="0.25">
      <c r="D285" s="9"/>
      <c r="E285" s="11"/>
    </row>
    <row r="286" spans="4:5" x14ac:dyDescent="0.25">
      <c r="D286" s="9"/>
      <c r="E286" s="11"/>
    </row>
    <row r="287" spans="4:5" x14ac:dyDescent="0.25">
      <c r="D287" s="9"/>
      <c r="E287" s="11"/>
    </row>
    <row r="288" spans="4:5" x14ac:dyDescent="0.25">
      <c r="D288" s="9"/>
      <c r="E288" s="11"/>
    </row>
    <row r="289" spans="4:5" x14ac:dyDescent="0.25">
      <c r="D289" s="9"/>
      <c r="E289" s="11"/>
    </row>
    <row r="290" spans="4:5" x14ac:dyDescent="0.25">
      <c r="D290" s="9"/>
      <c r="E290" s="11"/>
    </row>
    <row r="291" spans="4:5" x14ac:dyDescent="0.25">
      <c r="D291" s="9"/>
      <c r="E291" s="11"/>
    </row>
    <row r="292" spans="4:5" x14ac:dyDescent="0.25">
      <c r="D292" s="9"/>
      <c r="E292" s="11"/>
    </row>
    <row r="293" spans="4:5" x14ac:dyDescent="0.25">
      <c r="D293" s="9"/>
      <c r="E293" s="11"/>
    </row>
    <row r="294" spans="4:5" x14ac:dyDescent="0.25">
      <c r="D294" s="9"/>
      <c r="E294" s="11"/>
    </row>
    <row r="295" spans="4:5" x14ac:dyDescent="0.25">
      <c r="D295" s="9"/>
      <c r="E295" s="11"/>
    </row>
    <row r="296" spans="4:5" x14ac:dyDescent="0.25">
      <c r="D296" s="9"/>
      <c r="E296" s="11"/>
    </row>
    <row r="297" spans="4:5" x14ac:dyDescent="0.25">
      <c r="D297" s="9"/>
      <c r="E297" s="11"/>
    </row>
    <row r="298" spans="4:5" x14ac:dyDescent="0.25">
      <c r="D298" s="9"/>
      <c r="E298" s="11"/>
    </row>
    <row r="299" spans="4:5" x14ac:dyDescent="0.25">
      <c r="D299" s="9"/>
      <c r="E299" s="11"/>
    </row>
    <row r="300" spans="4:5" x14ac:dyDescent="0.25">
      <c r="D300" s="9"/>
      <c r="E300" s="11"/>
    </row>
    <row r="301" spans="4:5" x14ac:dyDescent="0.25">
      <c r="D301" s="9"/>
      <c r="E301" s="11"/>
    </row>
    <row r="302" spans="4:5" x14ac:dyDescent="0.25">
      <c r="D302" s="9"/>
      <c r="E30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>
      <selection activeCell="E6" sqref="E6"/>
    </sheetView>
  </sheetViews>
  <sheetFormatPr baseColWidth="10" defaultRowHeight="15.75" x14ac:dyDescent="0.25"/>
  <cols>
    <col min="1" max="1" width="14.625" style="2" customWidth="1"/>
    <col min="2" max="2" width="13.5" style="2" bestFit="1" customWidth="1"/>
    <col min="3" max="3" width="23.625" style="2" bestFit="1" customWidth="1"/>
  </cols>
  <sheetData>
    <row r="1" spans="1:7" s="4" customFormat="1" ht="18.75" x14ac:dyDescent="0.3">
      <c r="A1" s="3" t="s">
        <v>0</v>
      </c>
      <c r="B1" s="3" t="s">
        <v>1</v>
      </c>
      <c r="C1" s="3" t="s">
        <v>2</v>
      </c>
    </row>
    <row r="2" spans="1:7" s="5" customFormat="1" ht="18.75" x14ac:dyDescent="0.3">
      <c r="B2" s="3" t="s">
        <v>4</v>
      </c>
      <c r="C2" s="3" t="s">
        <v>4</v>
      </c>
      <c r="D2" s="5" t="s">
        <v>5</v>
      </c>
      <c r="G2" s="5" t="s">
        <v>6</v>
      </c>
    </row>
    <row r="3" spans="1:7" x14ac:dyDescent="0.25">
      <c r="A3" s="1">
        <v>35796</v>
      </c>
      <c r="B3" s="2">
        <v>1.3978999999999999</v>
      </c>
      <c r="C3" s="2">
        <v>0.35730000000000001</v>
      </c>
      <c r="D3" s="6">
        <v>35796</v>
      </c>
      <c r="E3" s="7">
        <v>0.4</v>
      </c>
      <c r="G3">
        <f>22.33*(1-2.71828^(-0.265*E3))</f>
        <v>2.2458461764406383</v>
      </c>
    </row>
    <row r="4" spans="1:7" x14ac:dyDescent="0.25">
      <c r="A4" s="1">
        <v>35977</v>
      </c>
      <c r="B4" s="2">
        <v>2.5840999999999998</v>
      </c>
      <c r="C4" s="2">
        <v>0.66049999999999998</v>
      </c>
      <c r="D4" s="6">
        <v>35977</v>
      </c>
      <c r="E4" s="7">
        <v>0.1</v>
      </c>
      <c r="G4">
        <f t="shared" ref="G4:G57" si="0">22.33*(1-2.71828^(-0.265*E4))</f>
        <v>0.5839727935231096</v>
      </c>
    </row>
    <row r="5" spans="1:7" x14ac:dyDescent="0.25">
      <c r="A5" s="1">
        <v>36008</v>
      </c>
      <c r="B5" s="2">
        <v>2.4702999999999999</v>
      </c>
      <c r="C5" s="2">
        <v>0.63139999999999996</v>
      </c>
      <c r="D5" s="6">
        <v>36008</v>
      </c>
      <c r="E5" s="7">
        <v>0.4</v>
      </c>
      <c r="G5">
        <f t="shared" si="0"/>
        <v>2.2458461764406383</v>
      </c>
    </row>
    <row r="6" spans="1:7" x14ac:dyDescent="0.25">
      <c r="A6" s="1">
        <v>36039</v>
      </c>
      <c r="B6" s="2">
        <v>1.8593</v>
      </c>
      <c r="C6" s="2">
        <v>0.47520000000000001</v>
      </c>
      <c r="D6" s="6">
        <v>36039</v>
      </c>
      <c r="E6" s="7">
        <v>0.1</v>
      </c>
      <c r="G6">
        <f t="shared" si="0"/>
        <v>0.5839727935231096</v>
      </c>
    </row>
    <row r="7" spans="1:7" x14ac:dyDescent="0.25">
      <c r="A7" s="1">
        <v>36069</v>
      </c>
      <c r="B7" s="2">
        <v>2.0375000000000001</v>
      </c>
      <c r="C7" s="2">
        <v>0.52080000000000004</v>
      </c>
      <c r="D7" s="6">
        <v>36069</v>
      </c>
      <c r="E7" s="7">
        <v>0.1</v>
      </c>
      <c r="G7">
        <f t="shared" si="0"/>
        <v>0.5839727935231096</v>
      </c>
    </row>
    <row r="8" spans="1:7" x14ac:dyDescent="0.25">
      <c r="A8" s="1">
        <v>36100</v>
      </c>
      <c r="B8" s="2">
        <v>2.3976999999999999</v>
      </c>
      <c r="C8" s="2">
        <v>0.6129</v>
      </c>
      <c r="D8" s="6">
        <v>36100</v>
      </c>
      <c r="E8" s="7">
        <v>0.1</v>
      </c>
      <c r="G8">
        <f t="shared" si="0"/>
        <v>0.5839727935231096</v>
      </c>
    </row>
    <row r="9" spans="1:7" x14ac:dyDescent="0.25">
      <c r="A9" s="1">
        <v>36130</v>
      </c>
      <c r="B9" s="2">
        <v>1.8278000000000001</v>
      </c>
      <c r="C9" s="2">
        <v>0.4672</v>
      </c>
      <c r="D9" s="6">
        <v>36130</v>
      </c>
      <c r="E9" s="7">
        <v>0.1</v>
      </c>
      <c r="G9">
        <f t="shared" si="0"/>
        <v>0.5839727935231096</v>
      </c>
    </row>
    <row r="10" spans="1:7" x14ac:dyDescent="0.25">
      <c r="A10" s="1">
        <v>37622</v>
      </c>
      <c r="B10" s="2">
        <v>2.2787000000000002</v>
      </c>
      <c r="C10" s="2">
        <v>0.58240000000000003</v>
      </c>
      <c r="D10" s="8">
        <v>37622</v>
      </c>
      <c r="E10">
        <v>0.56000000000000005</v>
      </c>
      <c r="G10">
        <f t="shared" si="0"/>
        <v>3.0796129760156861</v>
      </c>
    </row>
    <row r="11" spans="1:7" x14ac:dyDescent="0.25">
      <c r="A11" s="1">
        <v>37653</v>
      </c>
      <c r="B11" s="2">
        <v>1.9036</v>
      </c>
      <c r="C11" s="2">
        <v>0.48659999999999998</v>
      </c>
      <c r="D11" s="8">
        <v>37653</v>
      </c>
      <c r="E11">
        <v>0.57999999999999996</v>
      </c>
      <c r="G11">
        <f t="shared" si="0"/>
        <v>3.1813700643154688</v>
      </c>
    </row>
    <row r="12" spans="1:7" x14ac:dyDescent="0.25">
      <c r="A12" s="1">
        <v>37681</v>
      </c>
      <c r="B12" s="2">
        <v>2.0771000000000002</v>
      </c>
      <c r="C12" s="2">
        <v>0.53090000000000004</v>
      </c>
      <c r="D12" s="8">
        <v>37681</v>
      </c>
      <c r="E12">
        <v>0.62</v>
      </c>
      <c r="G12">
        <f t="shared" si="0"/>
        <v>3.3832734275141552</v>
      </c>
    </row>
    <row r="13" spans="1:7" x14ac:dyDescent="0.25">
      <c r="A13" s="1">
        <v>37712</v>
      </c>
      <c r="B13" s="2">
        <v>2.0066999999999999</v>
      </c>
      <c r="C13" s="2">
        <v>0.51290000000000002</v>
      </c>
      <c r="D13" s="8">
        <v>37712</v>
      </c>
      <c r="E13">
        <v>0.83</v>
      </c>
      <c r="G13">
        <f t="shared" si="0"/>
        <v>4.4088565554268966</v>
      </c>
    </row>
    <row r="14" spans="1:7" x14ac:dyDescent="0.25">
      <c r="A14" s="1">
        <v>37742</v>
      </c>
      <c r="B14" s="2">
        <v>2.3855</v>
      </c>
      <c r="C14" s="2">
        <v>0.60970000000000002</v>
      </c>
      <c r="D14" s="8">
        <v>37742</v>
      </c>
      <c r="E14">
        <v>0.85</v>
      </c>
      <c r="G14">
        <f t="shared" si="0"/>
        <v>4.5035872937570121</v>
      </c>
    </row>
    <row r="15" spans="1:7" x14ac:dyDescent="0.25">
      <c r="A15" s="1">
        <v>37773</v>
      </c>
      <c r="B15" s="2">
        <v>3.198</v>
      </c>
      <c r="C15" s="2">
        <v>0.81740000000000002</v>
      </c>
      <c r="D15" s="8">
        <v>37773</v>
      </c>
      <c r="E15">
        <v>0.9</v>
      </c>
      <c r="G15">
        <f t="shared" si="0"/>
        <v>4.7382291690114045</v>
      </c>
    </row>
    <row r="16" spans="1:7" x14ac:dyDescent="0.25">
      <c r="A16" s="1">
        <v>37803</v>
      </c>
      <c r="B16" s="2">
        <v>3.8237000000000001</v>
      </c>
      <c r="C16" s="2">
        <v>0.97729999999999995</v>
      </c>
      <c r="D16" s="8">
        <v>37803</v>
      </c>
      <c r="E16">
        <v>0.77</v>
      </c>
      <c r="G16">
        <f t="shared" si="0"/>
        <v>4.121633193178635</v>
      </c>
    </row>
    <row r="17" spans="1:7" x14ac:dyDescent="0.25">
      <c r="A17" s="1">
        <v>37834</v>
      </c>
      <c r="B17" s="2">
        <v>4.7008000000000001</v>
      </c>
      <c r="C17" s="2">
        <v>1.2015</v>
      </c>
      <c r="D17" s="8">
        <v>37834</v>
      </c>
      <c r="E17">
        <v>0.66</v>
      </c>
      <c r="G17">
        <f t="shared" si="0"/>
        <v>3.5830479194459222</v>
      </c>
    </row>
    <row r="18" spans="1:7" x14ac:dyDescent="0.25">
      <c r="A18" s="1">
        <v>37865</v>
      </c>
      <c r="B18" s="2">
        <v>4.5393999999999997</v>
      </c>
      <c r="C18" s="2">
        <v>1.1603000000000001</v>
      </c>
      <c r="D18" s="8">
        <v>37865</v>
      </c>
      <c r="E18">
        <v>0.74</v>
      </c>
      <c r="G18">
        <f t="shared" si="0"/>
        <v>3.9762998401965217</v>
      </c>
    </row>
    <row r="19" spans="1:7" x14ac:dyDescent="0.25">
      <c r="A19" s="1">
        <v>37895</v>
      </c>
      <c r="B19" s="2">
        <v>3.4714999999999998</v>
      </c>
      <c r="C19" s="2">
        <v>0.88729999999999998</v>
      </c>
      <c r="D19" s="8">
        <v>37895</v>
      </c>
      <c r="E19">
        <v>0.87</v>
      </c>
      <c r="G19">
        <f t="shared" si="0"/>
        <v>4.5978172876557046</v>
      </c>
    </row>
    <row r="20" spans="1:7" x14ac:dyDescent="0.25">
      <c r="A20" s="1">
        <v>37926</v>
      </c>
      <c r="B20" s="2">
        <v>2.6395</v>
      </c>
      <c r="C20" s="2">
        <v>0.67469999999999997</v>
      </c>
      <c r="D20" s="8">
        <v>37926</v>
      </c>
      <c r="E20">
        <v>0.84</v>
      </c>
      <c r="G20">
        <f t="shared" si="0"/>
        <v>4.4562846836271524</v>
      </c>
    </row>
    <row r="21" spans="1:7" x14ac:dyDescent="0.25">
      <c r="A21" s="1">
        <v>37956</v>
      </c>
      <c r="B21" s="2">
        <v>2.4733999999999998</v>
      </c>
      <c r="C21" s="2">
        <v>0.63219999999999998</v>
      </c>
      <c r="D21" s="8">
        <v>37956</v>
      </c>
      <c r="E21">
        <v>0.72</v>
      </c>
      <c r="G21">
        <f t="shared" si="0"/>
        <v>3.8787670613992034</v>
      </c>
    </row>
    <row r="22" spans="1:7" x14ac:dyDescent="0.25">
      <c r="A22" s="1">
        <v>37987</v>
      </c>
      <c r="B22" s="2">
        <v>3.4923999999999999</v>
      </c>
      <c r="C22" s="2">
        <v>0.89270000000000005</v>
      </c>
      <c r="D22" s="8">
        <v>37987</v>
      </c>
      <c r="E22">
        <v>0.67</v>
      </c>
      <c r="G22">
        <f t="shared" si="0"/>
        <v>3.6326615420024613</v>
      </c>
    </row>
    <row r="23" spans="1:7" x14ac:dyDescent="0.25">
      <c r="A23" s="1">
        <v>38018</v>
      </c>
      <c r="B23" s="2">
        <v>2.149</v>
      </c>
      <c r="C23" s="2">
        <v>0.54930000000000001</v>
      </c>
      <c r="D23" s="8">
        <v>38018</v>
      </c>
      <c r="E23">
        <v>0.54</v>
      </c>
      <c r="G23">
        <f t="shared" si="0"/>
        <v>2.9773151438060754</v>
      </c>
    </row>
    <row r="24" spans="1:7" x14ac:dyDescent="0.25">
      <c r="A24" s="1">
        <v>38047</v>
      </c>
      <c r="B24" s="2">
        <v>1.9542999999999999</v>
      </c>
      <c r="C24" s="2">
        <v>0.4995</v>
      </c>
      <c r="D24" s="8">
        <v>38047</v>
      </c>
      <c r="E24">
        <v>0.89</v>
      </c>
      <c r="G24">
        <f t="shared" si="0"/>
        <v>4.6915491840461412</v>
      </c>
    </row>
    <row r="25" spans="1:7" x14ac:dyDescent="0.25">
      <c r="A25" s="1">
        <v>38078</v>
      </c>
      <c r="B25" s="2">
        <v>1.9971000000000001</v>
      </c>
      <c r="C25" s="2">
        <v>0.51049999999999995</v>
      </c>
      <c r="D25" s="8">
        <v>38078</v>
      </c>
      <c r="E25">
        <v>1.026</v>
      </c>
      <c r="G25">
        <f t="shared" si="0"/>
        <v>5.3159197926516777</v>
      </c>
    </row>
    <row r="26" spans="1:7" x14ac:dyDescent="0.25">
      <c r="A26" s="1">
        <v>38108</v>
      </c>
      <c r="B26" s="2">
        <v>2.4611999999999998</v>
      </c>
      <c r="C26" s="2">
        <v>0.62909999999999999</v>
      </c>
      <c r="D26" s="8">
        <v>38108</v>
      </c>
      <c r="E26">
        <v>0.89</v>
      </c>
      <c r="G26">
        <f t="shared" si="0"/>
        <v>4.6915491840461412</v>
      </c>
    </row>
    <row r="27" spans="1:7" x14ac:dyDescent="0.25">
      <c r="A27" s="1">
        <v>38139</v>
      </c>
      <c r="B27" s="2">
        <v>3.0602</v>
      </c>
      <c r="C27" s="2">
        <v>0.78220000000000001</v>
      </c>
      <c r="D27" s="8">
        <v>38139</v>
      </c>
      <c r="E27">
        <v>0.63</v>
      </c>
      <c r="G27">
        <f t="shared" si="0"/>
        <v>3.4334157512801782</v>
      </c>
    </row>
    <row r="28" spans="1:7" x14ac:dyDescent="0.25">
      <c r="A28" s="1">
        <v>38169</v>
      </c>
      <c r="B28" s="2">
        <v>4.3524000000000003</v>
      </c>
      <c r="C28" s="2">
        <v>1.1125</v>
      </c>
      <c r="D28" s="8">
        <v>38169</v>
      </c>
      <c r="E28">
        <v>0.34399999999999997</v>
      </c>
      <c r="G28">
        <f t="shared" si="0"/>
        <v>1.9455750343954785</v>
      </c>
    </row>
    <row r="29" spans="1:7" x14ac:dyDescent="0.25">
      <c r="A29" s="1">
        <v>38200</v>
      </c>
      <c r="B29" s="2">
        <v>5.7306999999999997</v>
      </c>
      <c r="C29" s="2">
        <v>1.4648000000000001</v>
      </c>
      <c r="D29" s="8">
        <v>38200</v>
      </c>
      <c r="E29">
        <v>0.18</v>
      </c>
      <c r="G29">
        <f t="shared" si="0"/>
        <v>1.0401358503707554</v>
      </c>
    </row>
    <row r="30" spans="1:7" x14ac:dyDescent="0.25">
      <c r="A30" s="1">
        <v>38231</v>
      </c>
      <c r="B30" s="2">
        <v>4.5773999999999999</v>
      </c>
      <c r="C30" s="2">
        <v>1.17</v>
      </c>
      <c r="D30" s="8">
        <v>38231</v>
      </c>
      <c r="E30">
        <v>0.69</v>
      </c>
      <c r="G30">
        <f t="shared" si="0"/>
        <v>3.7314952287263119</v>
      </c>
    </row>
    <row r="31" spans="1:7" x14ac:dyDescent="0.25">
      <c r="A31" s="1">
        <v>38261</v>
      </c>
      <c r="B31" s="2">
        <v>4.6997</v>
      </c>
      <c r="C31" s="2">
        <v>1.2013</v>
      </c>
      <c r="D31" s="8">
        <v>38261</v>
      </c>
      <c r="E31">
        <v>0.61</v>
      </c>
      <c r="G31">
        <f t="shared" si="0"/>
        <v>3.3329980504619119</v>
      </c>
    </row>
    <row r="32" spans="1:7" x14ac:dyDescent="0.25">
      <c r="A32" s="1">
        <v>38292</v>
      </c>
      <c r="B32" s="2">
        <v>2.4552</v>
      </c>
      <c r="C32" s="2">
        <v>0.62760000000000005</v>
      </c>
      <c r="D32" s="8">
        <v>38292</v>
      </c>
      <c r="E32">
        <v>0.53</v>
      </c>
      <c r="G32">
        <f t="shared" si="0"/>
        <v>2.9259625513465797</v>
      </c>
    </row>
    <row r="33" spans="1:9" ht="16.5" thickBot="1" x14ac:dyDescent="0.3">
      <c r="A33" s="1">
        <v>38322</v>
      </c>
      <c r="B33" s="2">
        <v>2.6107</v>
      </c>
      <c r="C33" s="2">
        <v>0.6673</v>
      </c>
      <c r="D33" s="8">
        <v>38322</v>
      </c>
      <c r="E33">
        <v>0.76</v>
      </c>
      <c r="G33">
        <f t="shared" si="0"/>
        <v>4.0733170630431061</v>
      </c>
    </row>
    <row r="34" spans="1:9" x14ac:dyDescent="0.25">
      <c r="A34" s="1">
        <v>42491</v>
      </c>
      <c r="B34" s="2">
        <v>16.785599999999999</v>
      </c>
      <c r="C34" s="2">
        <v>4.2904</v>
      </c>
      <c r="D34" s="9">
        <v>42505</v>
      </c>
      <c r="E34" s="10">
        <v>12.217573333333332</v>
      </c>
      <c r="G34">
        <f t="shared" si="0"/>
        <v>21.453416829388274</v>
      </c>
    </row>
    <row r="35" spans="1:9" x14ac:dyDescent="0.25">
      <c r="A35" s="1">
        <v>42522</v>
      </c>
      <c r="B35" s="2" t="s">
        <v>3</v>
      </c>
      <c r="C35" s="17">
        <f>+AVERAGE(C34,C36)</f>
        <v>3.9411</v>
      </c>
      <c r="D35" s="9">
        <v>42541</v>
      </c>
      <c r="E35" s="11">
        <v>10.835539555555556</v>
      </c>
      <c r="G35">
        <f t="shared" si="0"/>
        <v>21.065704544187895</v>
      </c>
    </row>
    <row r="36" spans="1:9" x14ac:dyDescent="0.25">
      <c r="A36" s="1">
        <v>42583</v>
      </c>
      <c r="B36" s="2">
        <v>14.052300000000001</v>
      </c>
      <c r="C36" s="2">
        <v>3.5918000000000001</v>
      </c>
      <c r="D36" s="9">
        <v>42585</v>
      </c>
      <c r="E36" s="11">
        <v>5.3787720000000006</v>
      </c>
      <c r="G36">
        <f t="shared" si="0"/>
        <v>16.961452194679197</v>
      </c>
    </row>
    <row r="37" spans="1:9" x14ac:dyDescent="0.25">
      <c r="A37" s="1">
        <v>42614</v>
      </c>
      <c r="B37" s="2">
        <v>14.6441</v>
      </c>
      <c r="C37" s="2">
        <v>3.7429999999999999</v>
      </c>
      <c r="D37" s="9">
        <v>42632</v>
      </c>
      <c r="E37" s="11">
        <v>5.5371814589371979</v>
      </c>
      <c r="G37">
        <f t="shared" si="0"/>
        <v>17.182150955067577</v>
      </c>
    </row>
    <row r="38" spans="1:9" x14ac:dyDescent="0.25">
      <c r="A38" s="1">
        <v>42644</v>
      </c>
      <c r="B38" s="2">
        <v>63.183100000000003</v>
      </c>
      <c r="C38" s="2">
        <v>16.1496</v>
      </c>
      <c r="D38" s="15"/>
      <c r="E38" s="16"/>
    </row>
    <row r="39" spans="1:9" s="24" customFormat="1" x14ac:dyDescent="0.25">
      <c r="A39" s="20">
        <v>42675</v>
      </c>
      <c r="B39" s="21">
        <v>23.518000000000001</v>
      </c>
      <c r="C39" s="21">
        <v>6.0111999999999997</v>
      </c>
      <c r="D39" s="22">
        <v>42677</v>
      </c>
      <c r="E39" s="23">
        <v>12.332810067632849</v>
      </c>
      <c r="G39">
        <f t="shared" si="0"/>
        <v>21.479781074892689</v>
      </c>
    </row>
    <row r="40" spans="1:9" x14ac:dyDescent="0.25">
      <c r="A40" s="1">
        <v>42736</v>
      </c>
      <c r="B40" s="2">
        <v>16.340299999999999</v>
      </c>
      <c r="C40" s="2">
        <v>4.1765999999999996</v>
      </c>
      <c r="D40" s="9">
        <v>42760</v>
      </c>
      <c r="E40" s="11">
        <v>10.629362570048308</v>
      </c>
      <c r="G40">
        <f t="shared" si="0"/>
        <v>20.994705483001695</v>
      </c>
    </row>
    <row r="41" spans="1:9" x14ac:dyDescent="0.25">
      <c r="A41" s="1">
        <v>42795</v>
      </c>
      <c r="B41" s="2">
        <v>15.276999999999999</v>
      </c>
      <c r="C41" s="2">
        <v>3.9047999999999998</v>
      </c>
      <c r="D41" s="9">
        <v>42801</v>
      </c>
      <c r="E41" s="11">
        <v>1.8583273333333332</v>
      </c>
      <c r="G41">
        <f t="shared" si="0"/>
        <v>8.6836149675217182</v>
      </c>
    </row>
    <row r="42" spans="1:9" x14ac:dyDescent="0.25">
      <c r="A42" s="1">
        <v>42856</v>
      </c>
      <c r="B42" s="2">
        <v>6.3791000000000002</v>
      </c>
      <c r="C42" s="2">
        <v>1.6305000000000001</v>
      </c>
      <c r="D42" s="9">
        <v>42859</v>
      </c>
      <c r="E42" s="11">
        <v>2.0309333333333294E-2</v>
      </c>
      <c r="G42">
        <f t="shared" si="0"/>
        <v>0.11985656219086292</v>
      </c>
    </row>
    <row r="43" spans="1:9" x14ac:dyDescent="0.25">
      <c r="A43" s="1">
        <v>42887</v>
      </c>
      <c r="B43" s="2">
        <v>4.8464</v>
      </c>
      <c r="C43" s="2">
        <v>1.2386999999999999</v>
      </c>
      <c r="D43" s="9">
        <v>42908</v>
      </c>
      <c r="E43" s="11">
        <v>1.5465459722222221</v>
      </c>
      <c r="G43">
        <f t="shared" si="0"/>
        <v>7.5082357366931411</v>
      </c>
    </row>
    <row r="44" spans="1:9" x14ac:dyDescent="0.25">
      <c r="A44" s="1">
        <v>42917</v>
      </c>
      <c r="B44" s="2">
        <v>3.62</v>
      </c>
      <c r="C44" s="2">
        <v>0.92530000000000001</v>
      </c>
      <c r="D44" s="9">
        <v>42947</v>
      </c>
      <c r="E44" s="11">
        <v>4.9940333333333309E-2</v>
      </c>
      <c r="G44">
        <f t="shared" si="0"/>
        <v>0.293572347379087</v>
      </c>
    </row>
    <row r="45" spans="1:9" x14ac:dyDescent="0.25">
      <c r="A45" s="1">
        <v>42948</v>
      </c>
      <c r="B45" s="2">
        <v>86.930099999999996</v>
      </c>
      <c r="C45" s="2">
        <v>22.2193</v>
      </c>
      <c r="D45" s="9">
        <v>42955</v>
      </c>
      <c r="E45" s="11">
        <v>7.2736008333333322</v>
      </c>
      <c r="F45" s="9">
        <v>42986</v>
      </c>
      <c r="G45">
        <f t="shared" si="0"/>
        <v>19.080737194420166</v>
      </c>
      <c r="H45" s="9"/>
      <c r="I45" s="11"/>
    </row>
    <row r="46" spans="1:9" x14ac:dyDescent="0.25">
      <c r="A46" s="1">
        <v>43009</v>
      </c>
      <c r="B46" s="2">
        <v>24.2882</v>
      </c>
      <c r="C46" s="2">
        <v>6.2081</v>
      </c>
      <c r="D46" s="9">
        <v>43018</v>
      </c>
      <c r="E46" s="11">
        <v>5.2223935555555556</v>
      </c>
      <c r="G46">
        <f t="shared" si="0"/>
        <v>16.734304147016193</v>
      </c>
    </row>
    <row r="47" spans="1:9" x14ac:dyDescent="0.25">
      <c r="A47" s="1">
        <v>43040</v>
      </c>
      <c r="B47" s="2">
        <v>20.488099999999999</v>
      </c>
      <c r="C47" s="2">
        <v>5.2367999999999997</v>
      </c>
      <c r="D47" s="9">
        <v>43047</v>
      </c>
      <c r="E47" s="11">
        <v>4.8261562222222221</v>
      </c>
      <c r="G47">
        <f t="shared" si="0"/>
        <v>16.11478370008345</v>
      </c>
    </row>
    <row r="48" spans="1:9" x14ac:dyDescent="0.25">
      <c r="A48" s="1">
        <v>43101</v>
      </c>
      <c r="B48" s="2">
        <v>20.290400000000002</v>
      </c>
      <c r="C48" s="2">
        <v>5.1862000000000004</v>
      </c>
      <c r="D48" s="9">
        <v>43109</v>
      </c>
      <c r="E48" s="11">
        <v>4.9714083333333328</v>
      </c>
      <c r="G48">
        <f t="shared" si="0"/>
        <v>16.349472685919711</v>
      </c>
    </row>
    <row r="49" spans="1:7" x14ac:dyDescent="0.25">
      <c r="A49" s="1">
        <v>43132</v>
      </c>
      <c r="B49" s="2">
        <v>25.376999999999999</v>
      </c>
      <c r="C49" s="2">
        <v>6.4863999999999997</v>
      </c>
      <c r="D49" s="9">
        <v>43145</v>
      </c>
      <c r="E49" s="11">
        <v>6.1622046783625732</v>
      </c>
      <c r="G49">
        <f t="shared" si="0"/>
        <v>17.967924725460069</v>
      </c>
    </row>
    <row r="50" spans="1:7" x14ac:dyDescent="0.25">
      <c r="A50" s="1">
        <v>43160</v>
      </c>
      <c r="B50" s="2">
        <v>8.7319999999999993</v>
      </c>
      <c r="C50" s="2">
        <v>2.2319</v>
      </c>
      <c r="D50" s="9">
        <v>43186</v>
      </c>
      <c r="E50" s="11">
        <v>3.4454086405508071</v>
      </c>
      <c r="G50">
        <f t="shared" si="0"/>
        <v>13.368851583477818</v>
      </c>
    </row>
    <row r="51" spans="1:7" x14ac:dyDescent="0.25">
      <c r="A51" s="1">
        <v>43221</v>
      </c>
      <c r="B51" s="2">
        <v>4.1632999999999996</v>
      </c>
      <c r="C51" s="2">
        <v>1.0641</v>
      </c>
      <c r="D51" s="9">
        <v>43228</v>
      </c>
      <c r="E51" s="11">
        <v>1.2302935555555556</v>
      </c>
      <c r="G51">
        <f t="shared" si="0"/>
        <v>6.2125345763410689</v>
      </c>
    </row>
    <row r="52" spans="1:7" x14ac:dyDescent="0.25">
      <c r="A52" s="1">
        <v>43252</v>
      </c>
      <c r="B52" s="2">
        <v>2.1562999999999999</v>
      </c>
      <c r="C52" s="2">
        <v>0.55110000000000003</v>
      </c>
      <c r="D52" s="9">
        <v>43263</v>
      </c>
      <c r="E52" s="11">
        <v>0.60648871111111102</v>
      </c>
      <c r="G52">
        <f t="shared" si="0"/>
        <v>3.3153132859766754</v>
      </c>
    </row>
    <row r="53" spans="1:7" x14ac:dyDescent="0.25">
      <c r="A53" s="1">
        <v>43313</v>
      </c>
      <c r="B53" s="2">
        <v>4.6287000000000003</v>
      </c>
      <c r="C53" s="2">
        <v>1.1831</v>
      </c>
      <c r="D53" s="9">
        <v>43342</v>
      </c>
      <c r="E53" s="11">
        <v>1.7405852592592594</v>
      </c>
      <c r="G53">
        <f t="shared" si="0"/>
        <v>8.2511132378924348</v>
      </c>
    </row>
    <row r="54" spans="1:7" x14ac:dyDescent="0.25">
      <c r="A54" s="1">
        <v>43344</v>
      </c>
      <c r="B54" s="2">
        <v>4.2838000000000003</v>
      </c>
      <c r="C54" s="2">
        <v>1.0949</v>
      </c>
      <c r="D54" s="18">
        <v>43373</v>
      </c>
      <c r="E54" s="19">
        <v>1.7405852592592594</v>
      </c>
      <c r="G54">
        <f t="shared" si="0"/>
        <v>8.2511132378924348</v>
      </c>
    </row>
    <row r="55" spans="1:7" x14ac:dyDescent="0.25">
      <c r="A55" s="1">
        <v>43374</v>
      </c>
      <c r="B55" s="2">
        <v>5.9801000000000002</v>
      </c>
      <c r="C55" s="2">
        <v>1.5285</v>
      </c>
      <c r="D55" s="9">
        <v>43377</v>
      </c>
      <c r="E55" s="11">
        <v>1.220261</v>
      </c>
      <c r="G55">
        <f t="shared" si="0"/>
        <v>6.1696272608692322</v>
      </c>
    </row>
    <row r="56" spans="1:7" x14ac:dyDescent="0.25">
      <c r="A56" s="1">
        <v>43405</v>
      </c>
      <c r="B56" s="2">
        <v>8.9273000000000007</v>
      </c>
      <c r="C56" s="2">
        <v>2.2818000000000001</v>
      </c>
      <c r="D56" s="9">
        <v>43416</v>
      </c>
      <c r="E56" s="11">
        <v>1.3521332222222222</v>
      </c>
      <c r="G56">
        <f t="shared" si="0"/>
        <v>6.7246156868411298</v>
      </c>
    </row>
    <row r="57" spans="1:7" x14ac:dyDescent="0.25">
      <c r="A57" s="1">
        <v>43435</v>
      </c>
      <c r="B57" s="2">
        <v>4.3620999999999999</v>
      </c>
      <c r="C57" s="2">
        <v>1.115</v>
      </c>
      <c r="D57" s="9">
        <v>43452</v>
      </c>
      <c r="E57" s="11">
        <v>0.97944896296296291</v>
      </c>
      <c r="G57">
        <f t="shared" si="0"/>
        <v>5.1047338999979299</v>
      </c>
    </row>
    <row r="58" spans="1:7" x14ac:dyDescent="0.25">
      <c r="D58" s="9"/>
      <c r="E58" s="11"/>
    </row>
    <row r="59" spans="1:7" x14ac:dyDescent="0.25">
      <c r="D59" s="9"/>
      <c r="E59" s="11"/>
    </row>
    <row r="60" spans="1:7" x14ac:dyDescent="0.25">
      <c r="D60" s="9"/>
      <c r="E60" s="11"/>
    </row>
    <row r="61" spans="1:7" x14ac:dyDescent="0.25">
      <c r="D61" s="9"/>
      <c r="E61" s="11"/>
    </row>
    <row r="62" spans="1:7" x14ac:dyDescent="0.25">
      <c r="D62" s="9"/>
      <c r="E62" s="11"/>
    </row>
    <row r="63" spans="1:7" x14ac:dyDescent="0.25">
      <c r="D63" s="9"/>
      <c r="E63" s="11"/>
    </row>
    <row r="64" spans="1:7" x14ac:dyDescent="0.25">
      <c r="D64" s="9"/>
      <c r="E64" s="11"/>
    </row>
    <row r="65" spans="4:5" ht="16.5" thickBot="1" x14ac:dyDescent="0.3">
      <c r="D65" s="9"/>
      <c r="E65" s="11"/>
    </row>
    <row r="66" spans="4:5" x14ac:dyDescent="0.25">
      <c r="D66" s="12"/>
      <c r="E66" s="11"/>
    </row>
    <row r="67" spans="4:5" x14ac:dyDescent="0.25">
      <c r="D67" s="13"/>
      <c r="E67" s="11"/>
    </row>
    <row r="68" spans="4:5" x14ac:dyDescent="0.25">
      <c r="D68" s="13"/>
      <c r="E68" s="11"/>
    </row>
    <row r="69" spans="4:5" x14ac:dyDescent="0.25">
      <c r="D69" s="13"/>
      <c r="E69" s="11"/>
    </row>
    <row r="70" spans="4:5" ht="16.5" thickBot="1" x14ac:dyDescent="0.3">
      <c r="D70" s="14"/>
      <c r="E70" s="11"/>
    </row>
    <row r="71" spans="4:5" x14ac:dyDescent="0.25">
      <c r="D71" s="9"/>
      <c r="E71" s="11"/>
    </row>
    <row r="72" spans="4:5" x14ac:dyDescent="0.25">
      <c r="D72" s="9"/>
      <c r="E72" s="11"/>
    </row>
    <row r="73" spans="4:5" x14ac:dyDescent="0.25">
      <c r="D73" s="9"/>
      <c r="E73" s="11"/>
    </row>
    <row r="74" spans="4:5" x14ac:dyDescent="0.25">
      <c r="D74" s="9"/>
      <c r="E74" s="11"/>
    </row>
    <row r="75" spans="4:5" x14ac:dyDescent="0.25">
      <c r="D75" s="9"/>
      <c r="E75" s="11"/>
    </row>
    <row r="76" spans="4:5" x14ac:dyDescent="0.25">
      <c r="D76" s="9"/>
      <c r="E76" s="11"/>
    </row>
    <row r="77" spans="4:5" x14ac:dyDescent="0.25">
      <c r="D77" s="9"/>
      <c r="E77" s="11"/>
    </row>
    <row r="78" spans="4:5" x14ac:dyDescent="0.25">
      <c r="D78" s="9"/>
      <c r="E78" s="11"/>
    </row>
    <row r="79" spans="4:5" x14ac:dyDescent="0.25">
      <c r="D79" s="9"/>
      <c r="E79" s="11"/>
    </row>
    <row r="80" spans="4:5" x14ac:dyDescent="0.25">
      <c r="D80" s="9"/>
      <c r="E80" s="11"/>
    </row>
    <row r="81" spans="4:5" x14ac:dyDescent="0.25">
      <c r="D81" s="9"/>
      <c r="E81" s="11"/>
    </row>
    <row r="82" spans="4:5" x14ac:dyDescent="0.25">
      <c r="D82" s="9"/>
      <c r="E82" s="11"/>
    </row>
    <row r="83" spans="4:5" x14ac:dyDescent="0.25">
      <c r="D83" s="9"/>
      <c r="E83" s="11"/>
    </row>
    <row r="84" spans="4:5" x14ac:dyDescent="0.25">
      <c r="D84" s="9"/>
      <c r="E84" s="11"/>
    </row>
    <row r="85" spans="4:5" x14ac:dyDescent="0.25">
      <c r="D85" s="9"/>
      <c r="E85" s="11"/>
    </row>
    <row r="86" spans="4:5" x14ac:dyDescent="0.25">
      <c r="D86" s="9"/>
      <c r="E86" s="11"/>
    </row>
    <row r="87" spans="4:5" x14ac:dyDescent="0.25">
      <c r="D87" s="9"/>
      <c r="E87" s="11"/>
    </row>
    <row r="88" spans="4:5" x14ac:dyDescent="0.25">
      <c r="D88" s="9"/>
      <c r="E88" s="11"/>
    </row>
    <row r="89" spans="4:5" x14ac:dyDescent="0.25">
      <c r="D89" s="9"/>
      <c r="E89" s="11"/>
    </row>
    <row r="90" spans="4:5" x14ac:dyDescent="0.25">
      <c r="D90" s="9"/>
      <c r="E90" s="11"/>
    </row>
    <row r="91" spans="4:5" x14ac:dyDescent="0.25">
      <c r="D91" s="9"/>
      <c r="E91" s="11"/>
    </row>
    <row r="92" spans="4:5" x14ac:dyDescent="0.25">
      <c r="D92" s="9"/>
      <c r="E92" s="11"/>
    </row>
    <row r="93" spans="4:5" x14ac:dyDescent="0.25">
      <c r="D93" s="9"/>
      <c r="E93" s="11"/>
    </row>
    <row r="94" spans="4:5" x14ac:dyDescent="0.25">
      <c r="D94" s="9"/>
      <c r="E94" s="11"/>
    </row>
    <row r="95" spans="4:5" x14ac:dyDescent="0.25">
      <c r="D95" s="9"/>
      <c r="E95" s="11"/>
    </row>
    <row r="96" spans="4:5" x14ac:dyDescent="0.25">
      <c r="D96" s="9"/>
      <c r="E96" s="11"/>
    </row>
    <row r="97" spans="4:5" x14ac:dyDescent="0.25">
      <c r="D97" s="9"/>
      <c r="E97" s="11"/>
    </row>
    <row r="98" spans="4:5" x14ac:dyDescent="0.25">
      <c r="D98" s="9"/>
      <c r="E98" s="11"/>
    </row>
    <row r="99" spans="4:5" x14ac:dyDescent="0.25">
      <c r="D99" s="9"/>
      <c r="E99" s="11"/>
    </row>
    <row r="100" spans="4:5" x14ac:dyDescent="0.25">
      <c r="D100" s="9"/>
      <c r="E100" s="11"/>
    </row>
    <row r="101" spans="4:5" x14ac:dyDescent="0.25">
      <c r="D101" s="9"/>
      <c r="E101" s="11"/>
    </row>
    <row r="102" spans="4:5" x14ac:dyDescent="0.25">
      <c r="D102" s="9"/>
      <c r="E102" s="11"/>
    </row>
    <row r="103" spans="4:5" x14ac:dyDescent="0.25">
      <c r="D103" s="9"/>
      <c r="E103" s="11"/>
    </row>
    <row r="104" spans="4:5" x14ac:dyDescent="0.25">
      <c r="D104" s="9"/>
      <c r="E104" s="11"/>
    </row>
    <row r="105" spans="4:5" x14ac:dyDescent="0.25">
      <c r="D105" s="9"/>
      <c r="E105" s="11"/>
    </row>
    <row r="106" spans="4:5" x14ac:dyDescent="0.25">
      <c r="D106" s="9"/>
      <c r="E10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satelite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</dc:creator>
  <cp:lastModifiedBy>Julia</cp:lastModifiedBy>
  <dcterms:created xsi:type="dcterms:W3CDTF">2020-04-28T07:57:15Z</dcterms:created>
  <dcterms:modified xsi:type="dcterms:W3CDTF">2025-04-08T15:18:01Z</dcterms:modified>
</cp:coreProperties>
</file>